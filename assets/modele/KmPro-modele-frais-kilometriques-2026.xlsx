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’emploi" sheetId="1" state="visible" r:id="rId1"/>
    <sheet name="Trajets" sheetId="2" state="visible" r:id="rId2"/>
    <sheet name="Véhicule" sheetId="3" state="visible" r:id="rId3"/>
    <sheet name="Récapitulatif" sheetId="4" state="visible" r:id="rId4"/>
  </sheets>
  <definedNames>
    <definedName name="_xlnm._FilterDatabase" localSheetId="1" hidden="1">'Trajets'!$A$4:$I$204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#,##0.00 &quot;€&quot;"/>
  </numFmts>
  <fonts count="11">
    <font>
      <name val="Calibri"/>
      <family val="2"/>
      <color theme="1"/>
      <sz val="11"/>
      <scheme val="minor"/>
    </font>
    <font>
      <name val="Arial"/>
      <b val="1"/>
      <color rgb="000B1A2E"/>
      <sz val="15"/>
    </font>
    <font>
      <name val="Arial"/>
      <color rgb="00627289"/>
      <sz val="10"/>
    </font>
    <font>
      <name val="Arial"/>
      <b val="1"/>
      <color rgb="00FFFFFF"/>
      <sz val="10"/>
    </font>
    <font>
      <name val="Arial"/>
      <color rgb="000B1A2E"/>
      <sz val="10"/>
    </font>
    <font>
      <name val="Arial"/>
      <color rgb="000000FF"/>
      <sz val="10"/>
    </font>
    <font>
      <name val="Arial"/>
      <b val="1"/>
      <color rgb="000B1A2E"/>
      <sz val="10"/>
    </font>
    <font>
      <name val="Arial"/>
      <color rgb="00627289"/>
      <sz val="9"/>
    </font>
    <font>
      <name val="Arial"/>
      <color rgb="00008000"/>
      <sz val="10"/>
    </font>
    <font>
      <name val="Arial"/>
      <b val="1"/>
      <color rgb="000B1A2E"/>
      <sz val="12"/>
    </font>
    <font>
      <name val="Arial"/>
      <b val="1"/>
      <color rgb="001F6BEB"/>
      <sz val="10"/>
    </font>
  </fonts>
  <fills count="5">
    <fill>
      <patternFill/>
    </fill>
    <fill>
      <patternFill patternType="gray125"/>
    </fill>
    <fill>
      <patternFill patternType="solid">
        <fgColor rgb="001F6BEB"/>
      </patternFill>
    </fill>
    <fill>
      <patternFill patternType="solid">
        <fgColor rgb="00FFF9DB"/>
      </patternFill>
    </fill>
    <fill>
      <patternFill patternType="solid">
        <fgColor rgb="00DCE9FF"/>
      </patternFill>
    </fill>
  </fills>
  <borders count="2">
    <border>
      <left/>
      <right/>
      <top/>
      <bottom/>
      <diagonal/>
    </border>
    <border>
      <left style="thin">
        <color rgb="00DAE3EE"/>
      </left>
      <right style="thin">
        <color rgb="00DAE3EE"/>
      </right>
      <top style="thin">
        <color rgb="00DAE3EE"/>
      </top>
      <bottom style="thin">
        <color rgb="00DAE3E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/>
    </xf>
    <xf numFmtId="0" fontId="4" fillId="0" borderId="0" applyAlignment="1" pivotButton="0" quotePrefix="0" xfId="0">
      <alignment/>
    </xf>
    <xf numFmtId="0" fontId="6" fillId="0" borderId="0" applyAlignment="1" pivotButton="0" quotePrefix="0" xfId="0">
      <alignment/>
    </xf>
    <xf numFmtId="0" fontId="10" fillId="0" borderId="0" applyAlignment="1" pivotButton="0" quotePrefix="0" xfId="0">
      <alignment/>
    </xf>
    <xf numFmtId="0" fontId="7" fillId="0" borderId="0" applyAlignment="1" pivotButton="0" quotePrefix="0" xfId="0">
      <alignment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3" borderId="1" pivotButton="0" quotePrefix="0" xfId="0"/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3" fontId="5" fillId="3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3" fillId="2" borderId="1" applyAlignment="1" pivotButton="0" quotePrefix="0" xfId="0">
      <alignment horizontal="center"/>
    </xf>
    <xf numFmtId="3" fontId="8" fillId="0" borderId="1" pivotButton="0" quotePrefix="0" xfId="0"/>
    <xf numFmtId="3" fontId="6" fillId="4" borderId="1" pivotButton="0" quotePrefix="0" xfId="0"/>
    <xf numFmtId="0" fontId="8" fillId="0" borderId="1" pivotButton="0" quotePrefix="0" xfId="0"/>
    <xf numFmtId="0" fontId="7" fillId="0" borderId="1" pivotButton="0" quotePrefix="0" xfId="0"/>
    <xf numFmtId="0" fontId="9" fillId="0" borderId="0" pivotButton="0" quotePrefix="0" xfId="0"/>
    <xf numFmtId="166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KmPro</author>
  </authors>
  <commentList>
    <comment ref="A5" authorId="0" shapeId="0">
      <text>
        <t>Exemple : effacez cette ligne et saisissez les vôtres.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Modèle de suivi des frais kilométriques 2026</t>
        </is>
      </c>
    </row>
    <row r="2">
      <c r="A2" s="2" t="inlineStr"/>
    </row>
    <row r="3">
      <c r="A3" s="2" t="inlineStr">
        <is>
          <t>1. Feuille « Véhicule » : indiquez la puissance fiscale (case P.6 de la carte grise) et si le véhicule est 100 % électrique.</t>
        </is>
      </c>
    </row>
    <row r="4">
      <c r="A4" s="2" t="inlineStr">
        <is>
          <t>2. Feuille « Trajets » : une ligne par déplacement. Remplissez les cellules jaunes ; les deux dernières colonnes se calculent.</t>
        </is>
      </c>
    </row>
    <row r="5">
      <c r="A5" s="2" t="inlineStr">
        <is>
          <t>3. Feuille « Récapitulatif » : les totaux par mois et le montant annuel apparaissent tout seuls.</t>
        </is>
      </c>
    </row>
    <row r="6">
      <c r="A6" s="2" t="inlineStr"/>
    </row>
    <row r="7">
      <c r="A7" s="2" t="inlineStr">
        <is>
          <t>Ce qu’il faut pouvoir justifier pour chaque trajet : la date, la destination, le motif professionnel et la distance.</t>
        </is>
      </c>
    </row>
    <row r="8">
      <c r="A8" s="2" t="inlineStr"/>
    </row>
    <row r="9">
      <c r="A9" s="3" t="inlineStr">
        <is>
          <t>Attention : le barème dépend du total annuel de kilomètres. Le montant n’est donc définitif qu’en fin d’année.</t>
        </is>
      </c>
    </row>
    <row r="10">
      <c r="A10" s="2" t="inlineStr"/>
    </row>
    <row r="11">
      <c r="A11" s="2" t="inlineStr">
        <is>
          <t>Ce modèle a ses limites : les distances sont à chercher soi-même, une formule peut se casser, et il faut penser à le remplir.</t>
        </is>
      </c>
    </row>
    <row r="12">
      <c r="A12" s="2" t="inlineStr">
        <is>
          <t>L’application KmPro fait le même travail automatiquement, sur iPhone et sur Mac — et produit ce fichier pour vous.</t>
        </is>
      </c>
    </row>
    <row r="13">
      <c r="A13" s="4" t="inlineStr">
        <is>
          <t>kmpro.app</t>
        </is>
      </c>
    </row>
    <row r="14">
      <c r="A14" s="2" t="inlineStr"/>
    </row>
    <row r="15">
      <c r="A15" s="5" t="inlineStr">
        <is>
          <t>Barème fiscal 2026 · Source : URSSAF. Informations données à titre indicatif, sans valeur de conseil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6" customWidth="1" min="5" max="5"/>
    <col width="13" customWidth="1" min="6" max="6"/>
    <col width="14" customWidth="1" min="7" max="7"/>
    <col width="13" customWidth="1" min="8" max="8"/>
    <col width="10" customWidth="1" min="9" max="9"/>
  </cols>
  <sheetData>
    <row r="1">
      <c r="A1" s="6" t="inlineStr">
        <is>
          <t>Suivi des frais kilométriques 2026</t>
        </is>
      </c>
    </row>
    <row r="2">
      <c r="A2" s="7" t="inlineStr">
        <is>
          <t>Saisissez un trajet par ligne. Les colonnes grisées se calculent toutes seules.</t>
        </is>
      </c>
    </row>
    <row r="4" ht="28" customHeight="1">
      <c r="A4" s="8" t="inlineStr">
        <is>
          <t>Date</t>
        </is>
      </c>
      <c r="B4" s="8" t="inlineStr">
        <is>
          <t>Départ</t>
        </is>
      </c>
      <c r="C4" s="8" t="inlineStr">
        <is>
          <t>Destination</t>
        </is>
      </c>
      <c r="D4" s="8" t="inlineStr">
        <is>
          <t>Client / projet</t>
        </is>
      </c>
      <c r="E4" s="8" t="inlineStr">
        <is>
          <t>Motif du déplacement</t>
        </is>
      </c>
      <c r="F4" s="8" t="inlineStr">
        <is>
          <t>Aller-retour</t>
        </is>
      </c>
      <c r="G4" s="8" t="inlineStr">
        <is>
          <t>Distance (km)</t>
        </is>
      </c>
      <c r="H4" s="8" t="inlineStr">
        <is>
          <t>Km retenus</t>
        </is>
      </c>
      <c r="I4" s="8" t="inlineStr">
        <is>
          <t>Mois</t>
        </is>
      </c>
    </row>
    <row r="5">
      <c r="A5" s="9" t="n">
        <v>46028</v>
      </c>
      <c r="B5" s="10" t="inlineStr">
        <is>
          <t>Annecy</t>
        </is>
      </c>
      <c r="C5" s="10" t="inlineStr">
        <is>
          <t>Lyon</t>
        </is>
      </c>
      <c r="D5" s="10" t="inlineStr">
        <is>
          <t>Atelier Morel</t>
        </is>
      </c>
      <c r="E5" s="10" t="inlineStr">
        <is>
          <t>Rendez-vous client</t>
        </is>
      </c>
      <c r="F5" s="11" t="inlineStr">
        <is>
          <t>Oui</t>
        </is>
      </c>
      <c r="G5" s="12" t="n">
        <v>118</v>
      </c>
      <c r="H5" s="13">
        <f>IF(G5="","",IF(F5="Oui",G5*2,G5))</f>
        <v/>
      </c>
      <c r="I5" s="14">
        <f>IF(A5="","",MONTH(A5))</f>
        <v/>
      </c>
    </row>
    <row r="6">
      <c r="A6" s="9" t="n"/>
      <c r="B6" s="10" t="n"/>
      <c r="C6" s="10" t="n"/>
      <c r="D6" s="10" t="n"/>
      <c r="E6" s="10" t="n"/>
      <c r="F6" s="11" t="n"/>
      <c r="G6" s="12" t="n"/>
      <c r="H6" s="13">
        <f>IF(G6="","",IF(F6="Oui",G6*2,G6))</f>
        <v/>
      </c>
      <c r="I6" s="14">
        <f>IF(A6="","",MONTH(A6))</f>
        <v/>
      </c>
    </row>
    <row r="7">
      <c r="A7" s="9" t="n"/>
      <c r="B7" s="10" t="n"/>
      <c r="C7" s="10" t="n"/>
      <c r="D7" s="10" t="n"/>
      <c r="E7" s="10" t="n"/>
      <c r="F7" s="11" t="n"/>
      <c r="G7" s="12" t="n"/>
      <c r="H7" s="13">
        <f>IF(G7="","",IF(F7="Oui",G7*2,G7))</f>
        <v/>
      </c>
      <c r="I7" s="14">
        <f>IF(A7="","",MONTH(A7))</f>
        <v/>
      </c>
    </row>
    <row r="8">
      <c r="A8" s="9" t="n"/>
      <c r="B8" s="10" t="n"/>
      <c r="C8" s="10" t="n"/>
      <c r="D8" s="10" t="n"/>
      <c r="E8" s="10" t="n"/>
      <c r="F8" s="11" t="n"/>
      <c r="G8" s="12" t="n"/>
      <c r="H8" s="13">
        <f>IF(G8="","",IF(F8="Oui",G8*2,G8))</f>
        <v/>
      </c>
      <c r="I8" s="14">
        <f>IF(A8="","",MONTH(A8))</f>
        <v/>
      </c>
    </row>
    <row r="9">
      <c r="A9" s="9" t="n"/>
      <c r="B9" s="10" t="n"/>
      <c r="C9" s="10" t="n"/>
      <c r="D9" s="10" t="n"/>
      <c r="E9" s="10" t="n"/>
      <c r="F9" s="11" t="n"/>
      <c r="G9" s="12" t="n"/>
      <c r="H9" s="13">
        <f>IF(G9="","",IF(F9="Oui",G9*2,G9))</f>
        <v/>
      </c>
      <c r="I9" s="14">
        <f>IF(A9="","",MONTH(A9))</f>
        <v/>
      </c>
    </row>
    <row r="10">
      <c r="A10" s="9" t="n"/>
      <c r="B10" s="10" t="n"/>
      <c r="C10" s="10" t="n"/>
      <c r="D10" s="10" t="n"/>
      <c r="E10" s="10" t="n"/>
      <c r="F10" s="11" t="n"/>
      <c r="G10" s="12" t="n"/>
      <c r="H10" s="13">
        <f>IF(G10="","",IF(F10="Oui",G10*2,G10))</f>
        <v/>
      </c>
      <c r="I10" s="14">
        <f>IF(A10="","",MONTH(A10))</f>
        <v/>
      </c>
    </row>
    <row r="11">
      <c r="A11" s="9" t="n"/>
      <c r="B11" s="10" t="n"/>
      <c r="C11" s="10" t="n"/>
      <c r="D11" s="10" t="n"/>
      <c r="E11" s="10" t="n"/>
      <c r="F11" s="11" t="n"/>
      <c r="G11" s="12" t="n"/>
      <c r="H11" s="13">
        <f>IF(G11="","",IF(F11="Oui",G11*2,G11))</f>
        <v/>
      </c>
      <c r="I11" s="14">
        <f>IF(A11="","",MONTH(A11))</f>
        <v/>
      </c>
    </row>
    <row r="12">
      <c r="A12" s="9" t="n"/>
      <c r="B12" s="10" t="n"/>
      <c r="C12" s="10" t="n"/>
      <c r="D12" s="10" t="n"/>
      <c r="E12" s="10" t="n"/>
      <c r="F12" s="11" t="n"/>
      <c r="G12" s="12" t="n"/>
      <c r="H12" s="13">
        <f>IF(G12="","",IF(F12="Oui",G12*2,G12))</f>
        <v/>
      </c>
      <c r="I12" s="14">
        <f>IF(A12="","",MONTH(A12))</f>
        <v/>
      </c>
    </row>
    <row r="13">
      <c r="A13" s="9" t="n"/>
      <c r="B13" s="10" t="n"/>
      <c r="C13" s="10" t="n"/>
      <c r="D13" s="10" t="n"/>
      <c r="E13" s="10" t="n"/>
      <c r="F13" s="11" t="n"/>
      <c r="G13" s="12" t="n"/>
      <c r="H13" s="13">
        <f>IF(G13="","",IF(F13="Oui",G13*2,G13))</f>
        <v/>
      </c>
      <c r="I13" s="14">
        <f>IF(A13="","",MONTH(A13))</f>
        <v/>
      </c>
    </row>
    <row r="14">
      <c r="A14" s="9" t="n"/>
      <c r="B14" s="10" t="n"/>
      <c r="C14" s="10" t="n"/>
      <c r="D14" s="10" t="n"/>
      <c r="E14" s="10" t="n"/>
      <c r="F14" s="11" t="n"/>
      <c r="G14" s="12" t="n"/>
      <c r="H14" s="13">
        <f>IF(G14="","",IF(F14="Oui",G14*2,G14))</f>
        <v/>
      </c>
      <c r="I14" s="14">
        <f>IF(A14="","",MONTH(A14))</f>
        <v/>
      </c>
    </row>
    <row r="15">
      <c r="A15" s="9" t="n"/>
      <c r="B15" s="10" t="n"/>
      <c r="C15" s="10" t="n"/>
      <c r="D15" s="10" t="n"/>
      <c r="E15" s="10" t="n"/>
      <c r="F15" s="11" t="n"/>
      <c r="G15" s="12" t="n"/>
      <c r="H15" s="13">
        <f>IF(G15="","",IF(F15="Oui",G15*2,G15))</f>
        <v/>
      </c>
      <c r="I15" s="14">
        <f>IF(A15="","",MONTH(A15))</f>
        <v/>
      </c>
    </row>
    <row r="16">
      <c r="A16" s="9" t="n"/>
      <c r="B16" s="10" t="n"/>
      <c r="C16" s="10" t="n"/>
      <c r="D16" s="10" t="n"/>
      <c r="E16" s="10" t="n"/>
      <c r="F16" s="11" t="n"/>
      <c r="G16" s="12" t="n"/>
      <c r="H16" s="13">
        <f>IF(G16="","",IF(F16="Oui",G16*2,G16))</f>
        <v/>
      </c>
      <c r="I16" s="14">
        <f>IF(A16="","",MONTH(A16))</f>
        <v/>
      </c>
    </row>
    <row r="17">
      <c r="A17" s="9" t="n"/>
      <c r="B17" s="10" t="n"/>
      <c r="C17" s="10" t="n"/>
      <c r="D17" s="10" t="n"/>
      <c r="E17" s="10" t="n"/>
      <c r="F17" s="11" t="n"/>
      <c r="G17" s="12" t="n"/>
      <c r="H17" s="13">
        <f>IF(G17="","",IF(F17="Oui",G17*2,G17))</f>
        <v/>
      </c>
      <c r="I17" s="14">
        <f>IF(A17="","",MONTH(A17))</f>
        <v/>
      </c>
    </row>
    <row r="18">
      <c r="A18" s="9" t="n"/>
      <c r="B18" s="10" t="n"/>
      <c r="C18" s="10" t="n"/>
      <c r="D18" s="10" t="n"/>
      <c r="E18" s="10" t="n"/>
      <c r="F18" s="11" t="n"/>
      <c r="G18" s="12" t="n"/>
      <c r="H18" s="13">
        <f>IF(G18="","",IF(F18="Oui",G18*2,G18))</f>
        <v/>
      </c>
      <c r="I18" s="14">
        <f>IF(A18="","",MONTH(A18))</f>
        <v/>
      </c>
    </row>
    <row r="19">
      <c r="A19" s="9" t="n"/>
      <c r="B19" s="10" t="n"/>
      <c r="C19" s="10" t="n"/>
      <c r="D19" s="10" t="n"/>
      <c r="E19" s="10" t="n"/>
      <c r="F19" s="11" t="n"/>
      <c r="G19" s="12" t="n"/>
      <c r="H19" s="13">
        <f>IF(G19="","",IF(F19="Oui",G19*2,G19))</f>
        <v/>
      </c>
      <c r="I19" s="14">
        <f>IF(A19="","",MONTH(A19))</f>
        <v/>
      </c>
    </row>
    <row r="20">
      <c r="A20" s="9" t="n"/>
      <c r="B20" s="10" t="n"/>
      <c r="C20" s="10" t="n"/>
      <c r="D20" s="10" t="n"/>
      <c r="E20" s="10" t="n"/>
      <c r="F20" s="11" t="n"/>
      <c r="G20" s="12" t="n"/>
      <c r="H20" s="13">
        <f>IF(G20="","",IF(F20="Oui",G20*2,G20))</f>
        <v/>
      </c>
      <c r="I20" s="14">
        <f>IF(A20="","",MONTH(A20))</f>
        <v/>
      </c>
    </row>
    <row r="21">
      <c r="A21" s="9" t="n"/>
      <c r="B21" s="10" t="n"/>
      <c r="C21" s="10" t="n"/>
      <c r="D21" s="10" t="n"/>
      <c r="E21" s="10" t="n"/>
      <c r="F21" s="11" t="n"/>
      <c r="G21" s="12" t="n"/>
      <c r="H21" s="13">
        <f>IF(G21="","",IF(F21="Oui",G21*2,G21))</f>
        <v/>
      </c>
      <c r="I21" s="14">
        <f>IF(A21="","",MONTH(A21))</f>
        <v/>
      </c>
    </row>
    <row r="22">
      <c r="A22" s="9" t="n"/>
      <c r="B22" s="10" t="n"/>
      <c r="C22" s="10" t="n"/>
      <c r="D22" s="10" t="n"/>
      <c r="E22" s="10" t="n"/>
      <c r="F22" s="11" t="n"/>
      <c r="G22" s="12" t="n"/>
      <c r="H22" s="13">
        <f>IF(G22="","",IF(F22="Oui",G22*2,G22))</f>
        <v/>
      </c>
      <c r="I22" s="14">
        <f>IF(A22="","",MONTH(A22))</f>
        <v/>
      </c>
    </row>
    <row r="23">
      <c r="A23" s="9" t="n"/>
      <c r="B23" s="10" t="n"/>
      <c r="C23" s="10" t="n"/>
      <c r="D23" s="10" t="n"/>
      <c r="E23" s="10" t="n"/>
      <c r="F23" s="11" t="n"/>
      <c r="G23" s="12" t="n"/>
      <c r="H23" s="13">
        <f>IF(G23="","",IF(F23="Oui",G23*2,G23))</f>
        <v/>
      </c>
      <c r="I23" s="14">
        <f>IF(A23="","",MONTH(A23))</f>
        <v/>
      </c>
    </row>
    <row r="24">
      <c r="A24" s="9" t="n"/>
      <c r="B24" s="10" t="n"/>
      <c r="C24" s="10" t="n"/>
      <c r="D24" s="10" t="n"/>
      <c r="E24" s="10" t="n"/>
      <c r="F24" s="11" t="n"/>
      <c r="G24" s="12" t="n"/>
      <c r="H24" s="13">
        <f>IF(G24="","",IF(F24="Oui",G24*2,G24))</f>
        <v/>
      </c>
      <c r="I24" s="14">
        <f>IF(A24="","",MONTH(A24))</f>
        <v/>
      </c>
    </row>
    <row r="25">
      <c r="A25" s="9" t="n"/>
      <c r="B25" s="10" t="n"/>
      <c r="C25" s="10" t="n"/>
      <c r="D25" s="10" t="n"/>
      <c r="E25" s="10" t="n"/>
      <c r="F25" s="11" t="n"/>
      <c r="G25" s="12" t="n"/>
      <c r="H25" s="13">
        <f>IF(G25="","",IF(F25="Oui",G25*2,G25))</f>
        <v/>
      </c>
      <c r="I25" s="14">
        <f>IF(A25="","",MONTH(A25))</f>
        <v/>
      </c>
    </row>
    <row r="26">
      <c r="A26" s="9" t="n"/>
      <c r="B26" s="10" t="n"/>
      <c r="C26" s="10" t="n"/>
      <c r="D26" s="10" t="n"/>
      <c r="E26" s="10" t="n"/>
      <c r="F26" s="11" t="n"/>
      <c r="G26" s="12" t="n"/>
      <c r="H26" s="13">
        <f>IF(G26="","",IF(F26="Oui",G26*2,G26))</f>
        <v/>
      </c>
      <c r="I26" s="14">
        <f>IF(A26="","",MONTH(A26))</f>
        <v/>
      </c>
    </row>
    <row r="27">
      <c r="A27" s="9" t="n"/>
      <c r="B27" s="10" t="n"/>
      <c r="C27" s="10" t="n"/>
      <c r="D27" s="10" t="n"/>
      <c r="E27" s="10" t="n"/>
      <c r="F27" s="11" t="n"/>
      <c r="G27" s="12" t="n"/>
      <c r="H27" s="13">
        <f>IF(G27="","",IF(F27="Oui",G27*2,G27))</f>
        <v/>
      </c>
      <c r="I27" s="14">
        <f>IF(A27="","",MONTH(A27))</f>
        <v/>
      </c>
    </row>
    <row r="28">
      <c r="A28" s="9" t="n"/>
      <c r="B28" s="10" t="n"/>
      <c r="C28" s="10" t="n"/>
      <c r="D28" s="10" t="n"/>
      <c r="E28" s="10" t="n"/>
      <c r="F28" s="11" t="n"/>
      <c r="G28" s="12" t="n"/>
      <c r="H28" s="13">
        <f>IF(G28="","",IF(F28="Oui",G28*2,G28))</f>
        <v/>
      </c>
      <c r="I28" s="14">
        <f>IF(A28="","",MONTH(A28))</f>
        <v/>
      </c>
    </row>
    <row r="29">
      <c r="A29" s="9" t="n"/>
      <c r="B29" s="10" t="n"/>
      <c r="C29" s="10" t="n"/>
      <c r="D29" s="10" t="n"/>
      <c r="E29" s="10" t="n"/>
      <c r="F29" s="11" t="n"/>
      <c r="G29" s="12" t="n"/>
      <c r="H29" s="13">
        <f>IF(G29="","",IF(F29="Oui",G29*2,G29))</f>
        <v/>
      </c>
      <c r="I29" s="14">
        <f>IF(A29="","",MONTH(A29))</f>
        <v/>
      </c>
    </row>
    <row r="30">
      <c r="A30" s="9" t="n"/>
      <c r="B30" s="10" t="n"/>
      <c r="C30" s="10" t="n"/>
      <c r="D30" s="10" t="n"/>
      <c r="E30" s="10" t="n"/>
      <c r="F30" s="11" t="n"/>
      <c r="G30" s="12" t="n"/>
      <c r="H30" s="13">
        <f>IF(G30="","",IF(F30="Oui",G30*2,G30))</f>
        <v/>
      </c>
      <c r="I30" s="14">
        <f>IF(A30="","",MONTH(A30))</f>
        <v/>
      </c>
    </row>
    <row r="31">
      <c r="A31" s="9" t="n"/>
      <c r="B31" s="10" t="n"/>
      <c r="C31" s="10" t="n"/>
      <c r="D31" s="10" t="n"/>
      <c r="E31" s="10" t="n"/>
      <c r="F31" s="11" t="n"/>
      <c r="G31" s="12" t="n"/>
      <c r="H31" s="13">
        <f>IF(G31="","",IF(F31="Oui",G31*2,G31))</f>
        <v/>
      </c>
      <c r="I31" s="14">
        <f>IF(A31="","",MONTH(A31))</f>
        <v/>
      </c>
    </row>
    <row r="32">
      <c r="A32" s="9" t="n"/>
      <c r="B32" s="10" t="n"/>
      <c r="C32" s="10" t="n"/>
      <c r="D32" s="10" t="n"/>
      <c r="E32" s="10" t="n"/>
      <c r="F32" s="11" t="n"/>
      <c r="G32" s="12" t="n"/>
      <c r="H32" s="13">
        <f>IF(G32="","",IF(F32="Oui",G32*2,G32))</f>
        <v/>
      </c>
      <c r="I32" s="14">
        <f>IF(A32="","",MONTH(A32))</f>
        <v/>
      </c>
    </row>
    <row r="33">
      <c r="A33" s="9" t="n"/>
      <c r="B33" s="10" t="n"/>
      <c r="C33" s="10" t="n"/>
      <c r="D33" s="10" t="n"/>
      <c r="E33" s="10" t="n"/>
      <c r="F33" s="11" t="n"/>
      <c r="G33" s="12" t="n"/>
      <c r="H33" s="13">
        <f>IF(G33="","",IF(F33="Oui",G33*2,G33))</f>
        <v/>
      </c>
      <c r="I33" s="14">
        <f>IF(A33="","",MONTH(A33))</f>
        <v/>
      </c>
    </row>
    <row r="34">
      <c r="A34" s="9" t="n"/>
      <c r="B34" s="10" t="n"/>
      <c r="C34" s="10" t="n"/>
      <c r="D34" s="10" t="n"/>
      <c r="E34" s="10" t="n"/>
      <c r="F34" s="11" t="n"/>
      <c r="G34" s="12" t="n"/>
      <c r="H34" s="13">
        <f>IF(G34="","",IF(F34="Oui",G34*2,G34))</f>
        <v/>
      </c>
      <c r="I34" s="14">
        <f>IF(A34="","",MONTH(A34))</f>
        <v/>
      </c>
    </row>
    <row r="35">
      <c r="A35" s="9" t="n"/>
      <c r="B35" s="10" t="n"/>
      <c r="C35" s="10" t="n"/>
      <c r="D35" s="10" t="n"/>
      <c r="E35" s="10" t="n"/>
      <c r="F35" s="11" t="n"/>
      <c r="G35" s="12" t="n"/>
      <c r="H35" s="13">
        <f>IF(G35="","",IF(F35="Oui",G35*2,G35))</f>
        <v/>
      </c>
      <c r="I35" s="14">
        <f>IF(A35="","",MONTH(A35))</f>
        <v/>
      </c>
    </row>
    <row r="36">
      <c r="A36" s="9" t="n"/>
      <c r="B36" s="10" t="n"/>
      <c r="C36" s="10" t="n"/>
      <c r="D36" s="10" t="n"/>
      <c r="E36" s="10" t="n"/>
      <c r="F36" s="11" t="n"/>
      <c r="G36" s="12" t="n"/>
      <c r="H36" s="13">
        <f>IF(G36="","",IF(F36="Oui",G36*2,G36))</f>
        <v/>
      </c>
      <c r="I36" s="14">
        <f>IF(A36="","",MONTH(A36))</f>
        <v/>
      </c>
    </row>
    <row r="37">
      <c r="A37" s="9" t="n"/>
      <c r="B37" s="10" t="n"/>
      <c r="C37" s="10" t="n"/>
      <c r="D37" s="10" t="n"/>
      <c r="E37" s="10" t="n"/>
      <c r="F37" s="11" t="n"/>
      <c r="G37" s="12" t="n"/>
      <c r="H37" s="13">
        <f>IF(G37="","",IF(F37="Oui",G37*2,G37))</f>
        <v/>
      </c>
      <c r="I37" s="14">
        <f>IF(A37="","",MONTH(A37))</f>
        <v/>
      </c>
    </row>
    <row r="38">
      <c r="A38" s="9" t="n"/>
      <c r="B38" s="10" t="n"/>
      <c r="C38" s="10" t="n"/>
      <c r="D38" s="10" t="n"/>
      <c r="E38" s="10" t="n"/>
      <c r="F38" s="11" t="n"/>
      <c r="G38" s="12" t="n"/>
      <c r="H38" s="13">
        <f>IF(G38="","",IF(F38="Oui",G38*2,G38))</f>
        <v/>
      </c>
      <c r="I38" s="14">
        <f>IF(A38="","",MONTH(A38))</f>
        <v/>
      </c>
    </row>
    <row r="39">
      <c r="A39" s="9" t="n"/>
      <c r="B39" s="10" t="n"/>
      <c r="C39" s="10" t="n"/>
      <c r="D39" s="10" t="n"/>
      <c r="E39" s="10" t="n"/>
      <c r="F39" s="11" t="n"/>
      <c r="G39" s="12" t="n"/>
      <c r="H39" s="13">
        <f>IF(G39="","",IF(F39="Oui",G39*2,G39))</f>
        <v/>
      </c>
      <c r="I39" s="14">
        <f>IF(A39="","",MONTH(A39))</f>
        <v/>
      </c>
    </row>
    <row r="40">
      <c r="A40" s="9" t="n"/>
      <c r="B40" s="10" t="n"/>
      <c r="C40" s="10" t="n"/>
      <c r="D40" s="10" t="n"/>
      <c r="E40" s="10" t="n"/>
      <c r="F40" s="11" t="n"/>
      <c r="G40" s="12" t="n"/>
      <c r="H40" s="13">
        <f>IF(G40="","",IF(F40="Oui",G40*2,G40))</f>
        <v/>
      </c>
      <c r="I40" s="14">
        <f>IF(A40="","",MONTH(A40))</f>
        <v/>
      </c>
    </row>
    <row r="41">
      <c r="A41" s="9" t="n"/>
      <c r="B41" s="10" t="n"/>
      <c r="C41" s="10" t="n"/>
      <c r="D41" s="10" t="n"/>
      <c r="E41" s="10" t="n"/>
      <c r="F41" s="11" t="n"/>
      <c r="G41" s="12" t="n"/>
      <c r="H41" s="13">
        <f>IF(G41="","",IF(F41="Oui",G41*2,G41))</f>
        <v/>
      </c>
      <c r="I41" s="14">
        <f>IF(A41="","",MONTH(A41))</f>
        <v/>
      </c>
    </row>
    <row r="42">
      <c r="A42" s="9" t="n"/>
      <c r="B42" s="10" t="n"/>
      <c r="C42" s="10" t="n"/>
      <c r="D42" s="10" t="n"/>
      <c r="E42" s="10" t="n"/>
      <c r="F42" s="11" t="n"/>
      <c r="G42" s="12" t="n"/>
      <c r="H42" s="13">
        <f>IF(G42="","",IF(F42="Oui",G42*2,G42))</f>
        <v/>
      </c>
      <c r="I42" s="14">
        <f>IF(A42="","",MONTH(A42))</f>
        <v/>
      </c>
    </row>
    <row r="43">
      <c r="A43" s="9" t="n"/>
      <c r="B43" s="10" t="n"/>
      <c r="C43" s="10" t="n"/>
      <c r="D43" s="10" t="n"/>
      <c r="E43" s="10" t="n"/>
      <c r="F43" s="11" t="n"/>
      <c r="G43" s="12" t="n"/>
      <c r="H43" s="13">
        <f>IF(G43="","",IF(F43="Oui",G43*2,G43))</f>
        <v/>
      </c>
      <c r="I43" s="14">
        <f>IF(A43="","",MONTH(A43))</f>
        <v/>
      </c>
    </row>
    <row r="44">
      <c r="A44" s="9" t="n"/>
      <c r="B44" s="10" t="n"/>
      <c r="C44" s="10" t="n"/>
      <c r="D44" s="10" t="n"/>
      <c r="E44" s="10" t="n"/>
      <c r="F44" s="11" t="n"/>
      <c r="G44" s="12" t="n"/>
      <c r="H44" s="13">
        <f>IF(G44="","",IF(F44="Oui",G44*2,G44))</f>
        <v/>
      </c>
      <c r="I44" s="14">
        <f>IF(A44="","",MONTH(A44))</f>
        <v/>
      </c>
    </row>
    <row r="45">
      <c r="A45" s="9" t="n"/>
      <c r="B45" s="10" t="n"/>
      <c r="C45" s="10" t="n"/>
      <c r="D45" s="10" t="n"/>
      <c r="E45" s="10" t="n"/>
      <c r="F45" s="11" t="n"/>
      <c r="G45" s="12" t="n"/>
      <c r="H45" s="13">
        <f>IF(G45="","",IF(F45="Oui",G45*2,G45))</f>
        <v/>
      </c>
      <c r="I45" s="14">
        <f>IF(A45="","",MONTH(A45))</f>
        <v/>
      </c>
    </row>
    <row r="46">
      <c r="A46" s="9" t="n"/>
      <c r="B46" s="10" t="n"/>
      <c r="C46" s="10" t="n"/>
      <c r="D46" s="10" t="n"/>
      <c r="E46" s="10" t="n"/>
      <c r="F46" s="11" t="n"/>
      <c r="G46" s="12" t="n"/>
      <c r="H46" s="13">
        <f>IF(G46="","",IF(F46="Oui",G46*2,G46))</f>
        <v/>
      </c>
      <c r="I46" s="14">
        <f>IF(A46="","",MONTH(A46))</f>
        <v/>
      </c>
    </row>
    <row r="47">
      <c r="A47" s="9" t="n"/>
      <c r="B47" s="10" t="n"/>
      <c r="C47" s="10" t="n"/>
      <c r="D47" s="10" t="n"/>
      <c r="E47" s="10" t="n"/>
      <c r="F47" s="11" t="n"/>
      <c r="G47" s="12" t="n"/>
      <c r="H47" s="13">
        <f>IF(G47="","",IF(F47="Oui",G47*2,G47))</f>
        <v/>
      </c>
      <c r="I47" s="14">
        <f>IF(A47="","",MONTH(A47))</f>
        <v/>
      </c>
    </row>
    <row r="48">
      <c r="A48" s="9" t="n"/>
      <c r="B48" s="10" t="n"/>
      <c r="C48" s="10" t="n"/>
      <c r="D48" s="10" t="n"/>
      <c r="E48" s="10" t="n"/>
      <c r="F48" s="11" t="n"/>
      <c r="G48" s="12" t="n"/>
      <c r="H48" s="13">
        <f>IF(G48="","",IF(F48="Oui",G48*2,G48))</f>
        <v/>
      </c>
      <c r="I48" s="14">
        <f>IF(A48="","",MONTH(A48))</f>
        <v/>
      </c>
    </row>
    <row r="49">
      <c r="A49" s="9" t="n"/>
      <c r="B49" s="10" t="n"/>
      <c r="C49" s="10" t="n"/>
      <c r="D49" s="10" t="n"/>
      <c r="E49" s="10" t="n"/>
      <c r="F49" s="11" t="n"/>
      <c r="G49" s="12" t="n"/>
      <c r="H49" s="13">
        <f>IF(G49="","",IF(F49="Oui",G49*2,G49))</f>
        <v/>
      </c>
      <c r="I49" s="14">
        <f>IF(A49="","",MONTH(A49))</f>
        <v/>
      </c>
    </row>
    <row r="50">
      <c r="A50" s="9" t="n"/>
      <c r="B50" s="10" t="n"/>
      <c r="C50" s="10" t="n"/>
      <c r="D50" s="10" t="n"/>
      <c r="E50" s="10" t="n"/>
      <c r="F50" s="11" t="n"/>
      <c r="G50" s="12" t="n"/>
      <c r="H50" s="13">
        <f>IF(G50="","",IF(F50="Oui",G50*2,G50))</f>
        <v/>
      </c>
      <c r="I50" s="14">
        <f>IF(A50="","",MONTH(A50))</f>
        <v/>
      </c>
    </row>
    <row r="51">
      <c r="A51" s="9" t="n"/>
      <c r="B51" s="10" t="n"/>
      <c r="C51" s="10" t="n"/>
      <c r="D51" s="10" t="n"/>
      <c r="E51" s="10" t="n"/>
      <c r="F51" s="11" t="n"/>
      <c r="G51" s="12" t="n"/>
      <c r="H51" s="13">
        <f>IF(G51="","",IF(F51="Oui",G51*2,G51))</f>
        <v/>
      </c>
      <c r="I51" s="14">
        <f>IF(A51="","",MONTH(A51))</f>
        <v/>
      </c>
    </row>
    <row r="52">
      <c r="A52" s="9" t="n"/>
      <c r="B52" s="10" t="n"/>
      <c r="C52" s="10" t="n"/>
      <c r="D52" s="10" t="n"/>
      <c r="E52" s="10" t="n"/>
      <c r="F52" s="11" t="n"/>
      <c r="G52" s="12" t="n"/>
      <c r="H52" s="13">
        <f>IF(G52="","",IF(F52="Oui",G52*2,G52))</f>
        <v/>
      </c>
      <c r="I52" s="14">
        <f>IF(A52="","",MONTH(A52))</f>
        <v/>
      </c>
    </row>
    <row r="53">
      <c r="A53" s="9" t="n"/>
      <c r="B53" s="10" t="n"/>
      <c r="C53" s="10" t="n"/>
      <c r="D53" s="10" t="n"/>
      <c r="E53" s="10" t="n"/>
      <c r="F53" s="11" t="n"/>
      <c r="G53" s="12" t="n"/>
      <c r="H53" s="13">
        <f>IF(G53="","",IF(F53="Oui",G53*2,G53))</f>
        <v/>
      </c>
      <c r="I53" s="14">
        <f>IF(A53="","",MONTH(A53))</f>
        <v/>
      </c>
    </row>
    <row r="54">
      <c r="A54" s="9" t="n"/>
      <c r="B54" s="10" t="n"/>
      <c r="C54" s="10" t="n"/>
      <c r="D54" s="10" t="n"/>
      <c r="E54" s="10" t="n"/>
      <c r="F54" s="11" t="n"/>
      <c r="G54" s="12" t="n"/>
      <c r="H54" s="13">
        <f>IF(G54="","",IF(F54="Oui",G54*2,G54))</f>
        <v/>
      </c>
      <c r="I54" s="14">
        <f>IF(A54="","",MONTH(A54))</f>
        <v/>
      </c>
    </row>
    <row r="55">
      <c r="A55" s="9" t="n"/>
      <c r="B55" s="10" t="n"/>
      <c r="C55" s="10" t="n"/>
      <c r="D55" s="10" t="n"/>
      <c r="E55" s="10" t="n"/>
      <c r="F55" s="11" t="n"/>
      <c r="G55" s="12" t="n"/>
      <c r="H55" s="13">
        <f>IF(G55="","",IF(F55="Oui",G55*2,G55))</f>
        <v/>
      </c>
      <c r="I55" s="14">
        <f>IF(A55="","",MONTH(A55))</f>
        <v/>
      </c>
    </row>
    <row r="56">
      <c r="A56" s="9" t="n"/>
      <c r="B56" s="10" t="n"/>
      <c r="C56" s="10" t="n"/>
      <c r="D56" s="10" t="n"/>
      <c r="E56" s="10" t="n"/>
      <c r="F56" s="11" t="n"/>
      <c r="G56" s="12" t="n"/>
      <c r="H56" s="13">
        <f>IF(G56="","",IF(F56="Oui",G56*2,G56))</f>
        <v/>
      </c>
      <c r="I56" s="14">
        <f>IF(A56="","",MONTH(A56))</f>
        <v/>
      </c>
    </row>
    <row r="57">
      <c r="A57" s="9" t="n"/>
      <c r="B57" s="10" t="n"/>
      <c r="C57" s="10" t="n"/>
      <c r="D57" s="10" t="n"/>
      <c r="E57" s="10" t="n"/>
      <c r="F57" s="11" t="n"/>
      <c r="G57" s="12" t="n"/>
      <c r="H57" s="13">
        <f>IF(G57="","",IF(F57="Oui",G57*2,G57))</f>
        <v/>
      </c>
      <c r="I57" s="14">
        <f>IF(A57="","",MONTH(A57))</f>
        <v/>
      </c>
    </row>
    <row r="58">
      <c r="A58" s="9" t="n"/>
      <c r="B58" s="10" t="n"/>
      <c r="C58" s="10" t="n"/>
      <c r="D58" s="10" t="n"/>
      <c r="E58" s="10" t="n"/>
      <c r="F58" s="11" t="n"/>
      <c r="G58" s="12" t="n"/>
      <c r="H58" s="13">
        <f>IF(G58="","",IF(F58="Oui",G58*2,G58))</f>
        <v/>
      </c>
      <c r="I58" s="14">
        <f>IF(A58="","",MONTH(A58))</f>
        <v/>
      </c>
    </row>
    <row r="59">
      <c r="A59" s="9" t="n"/>
      <c r="B59" s="10" t="n"/>
      <c r="C59" s="10" t="n"/>
      <c r="D59" s="10" t="n"/>
      <c r="E59" s="10" t="n"/>
      <c r="F59" s="11" t="n"/>
      <c r="G59" s="12" t="n"/>
      <c r="H59" s="13">
        <f>IF(G59="","",IF(F59="Oui",G59*2,G59))</f>
        <v/>
      </c>
      <c r="I59" s="14">
        <f>IF(A59="","",MONTH(A59))</f>
        <v/>
      </c>
    </row>
    <row r="60">
      <c r="A60" s="9" t="n"/>
      <c r="B60" s="10" t="n"/>
      <c r="C60" s="10" t="n"/>
      <c r="D60" s="10" t="n"/>
      <c r="E60" s="10" t="n"/>
      <c r="F60" s="11" t="n"/>
      <c r="G60" s="12" t="n"/>
      <c r="H60" s="13">
        <f>IF(G60="","",IF(F60="Oui",G60*2,G60))</f>
        <v/>
      </c>
      <c r="I60" s="14">
        <f>IF(A60="","",MONTH(A60))</f>
        <v/>
      </c>
    </row>
    <row r="61">
      <c r="A61" s="9" t="n"/>
      <c r="B61" s="10" t="n"/>
      <c r="C61" s="10" t="n"/>
      <c r="D61" s="10" t="n"/>
      <c r="E61" s="10" t="n"/>
      <c r="F61" s="11" t="n"/>
      <c r="G61" s="12" t="n"/>
      <c r="H61" s="13">
        <f>IF(G61="","",IF(F61="Oui",G61*2,G61))</f>
        <v/>
      </c>
      <c r="I61" s="14">
        <f>IF(A61="","",MONTH(A61))</f>
        <v/>
      </c>
    </row>
    <row r="62">
      <c r="A62" s="9" t="n"/>
      <c r="B62" s="10" t="n"/>
      <c r="C62" s="10" t="n"/>
      <c r="D62" s="10" t="n"/>
      <c r="E62" s="10" t="n"/>
      <c r="F62" s="11" t="n"/>
      <c r="G62" s="12" t="n"/>
      <c r="H62" s="13">
        <f>IF(G62="","",IF(F62="Oui",G62*2,G62))</f>
        <v/>
      </c>
      <c r="I62" s="14">
        <f>IF(A62="","",MONTH(A62))</f>
        <v/>
      </c>
    </row>
    <row r="63">
      <c r="A63" s="9" t="n"/>
      <c r="B63" s="10" t="n"/>
      <c r="C63" s="10" t="n"/>
      <c r="D63" s="10" t="n"/>
      <c r="E63" s="10" t="n"/>
      <c r="F63" s="11" t="n"/>
      <c r="G63" s="12" t="n"/>
      <c r="H63" s="13">
        <f>IF(G63="","",IF(F63="Oui",G63*2,G63))</f>
        <v/>
      </c>
      <c r="I63" s="14">
        <f>IF(A63="","",MONTH(A63))</f>
        <v/>
      </c>
    </row>
    <row r="64">
      <c r="A64" s="9" t="n"/>
      <c r="B64" s="10" t="n"/>
      <c r="C64" s="10" t="n"/>
      <c r="D64" s="10" t="n"/>
      <c r="E64" s="10" t="n"/>
      <c r="F64" s="11" t="n"/>
      <c r="G64" s="12" t="n"/>
      <c r="H64" s="13">
        <f>IF(G64="","",IF(F64="Oui",G64*2,G64))</f>
        <v/>
      </c>
      <c r="I64" s="14">
        <f>IF(A64="","",MONTH(A64))</f>
        <v/>
      </c>
    </row>
    <row r="65">
      <c r="A65" s="9" t="n"/>
      <c r="B65" s="10" t="n"/>
      <c r="C65" s="10" t="n"/>
      <c r="D65" s="10" t="n"/>
      <c r="E65" s="10" t="n"/>
      <c r="F65" s="11" t="n"/>
      <c r="G65" s="12" t="n"/>
      <c r="H65" s="13">
        <f>IF(G65="","",IF(F65="Oui",G65*2,G65))</f>
        <v/>
      </c>
      <c r="I65" s="14">
        <f>IF(A65="","",MONTH(A65))</f>
        <v/>
      </c>
    </row>
    <row r="66">
      <c r="A66" s="9" t="n"/>
      <c r="B66" s="10" t="n"/>
      <c r="C66" s="10" t="n"/>
      <c r="D66" s="10" t="n"/>
      <c r="E66" s="10" t="n"/>
      <c r="F66" s="11" t="n"/>
      <c r="G66" s="12" t="n"/>
      <c r="H66" s="13">
        <f>IF(G66="","",IF(F66="Oui",G66*2,G66))</f>
        <v/>
      </c>
      <c r="I66" s="14">
        <f>IF(A66="","",MONTH(A66))</f>
        <v/>
      </c>
    </row>
    <row r="67">
      <c r="A67" s="9" t="n"/>
      <c r="B67" s="10" t="n"/>
      <c r="C67" s="10" t="n"/>
      <c r="D67" s="10" t="n"/>
      <c r="E67" s="10" t="n"/>
      <c r="F67" s="11" t="n"/>
      <c r="G67" s="12" t="n"/>
      <c r="H67" s="13">
        <f>IF(G67="","",IF(F67="Oui",G67*2,G67))</f>
        <v/>
      </c>
      <c r="I67" s="14">
        <f>IF(A67="","",MONTH(A67))</f>
        <v/>
      </c>
    </row>
    <row r="68">
      <c r="A68" s="9" t="n"/>
      <c r="B68" s="10" t="n"/>
      <c r="C68" s="10" t="n"/>
      <c r="D68" s="10" t="n"/>
      <c r="E68" s="10" t="n"/>
      <c r="F68" s="11" t="n"/>
      <c r="G68" s="12" t="n"/>
      <c r="H68" s="13">
        <f>IF(G68="","",IF(F68="Oui",G68*2,G68))</f>
        <v/>
      </c>
      <c r="I68" s="14">
        <f>IF(A68="","",MONTH(A68))</f>
        <v/>
      </c>
    </row>
    <row r="69">
      <c r="A69" s="9" t="n"/>
      <c r="B69" s="10" t="n"/>
      <c r="C69" s="10" t="n"/>
      <c r="D69" s="10" t="n"/>
      <c r="E69" s="10" t="n"/>
      <c r="F69" s="11" t="n"/>
      <c r="G69" s="12" t="n"/>
      <c r="H69" s="13">
        <f>IF(G69="","",IF(F69="Oui",G69*2,G69))</f>
        <v/>
      </c>
      <c r="I69" s="14">
        <f>IF(A69="","",MONTH(A69))</f>
        <v/>
      </c>
    </row>
    <row r="70">
      <c r="A70" s="9" t="n"/>
      <c r="B70" s="10" t="n"/>
      <c r="C70" s="10" t="n"/>
      <c r="D70" s="10" t="n"/>
      <c r="E70" s="10" t="n"/>
      <c r="F70" s="11" t="n"/>
      <c r="G70" s="12" t="n"/>
      <c r="H70" s="13">
        <f>IF(G70="","",IF(F70="Oui",G70*2,G70))</f>
        <v/>
      </c>
      <c r="I70" s="14">
        <f>IF(A70="","",MONTH(A70))</f>
        <v/>
      </c>
    </row>
    <row r="71">
      <c r="A71" s="9" t="n"/>
      <c r="B71" s="10" t="n"/>
      <c r="C71" s="10" t="n"/>
      <c r="D71" s="10" t="n"/>
      <c r="E71" s="10" t="n"/>
      <c r="F71" s="11" t="n"/>
      <c r="G71" s="12" t="n"/>
      <c r="H71" s="13">
        <f>IF(G71="","",IF(F71="Oui",G71*2,G71))</f>
        <v/>
      </c>
      <c r="I71" s="14">
        <f>IF(A71="","",MONTH(A71))</f>
        <v/>
      </c>
    </row>
    <row r="72">
      <c r="A72" s="9" t="n"/>
      <c r="B72" s="10" t="n"/>
      <c r="C72" s="10" t="n"/>
      <c r="D72" s="10" t="n"/>
      <c r="E72" s="10" t="n"/>
      <c r="F72" s="11" t="n"/>
      <c r="G72" s="12" t="n"/>
      <c r="H72" s="13">
        <f>IF(G72="","",IF(F72="Oui",G72*2,G72))</f>
        <v/>
      </c>
      <c r="I72" s="14">
        <f>IF(A72="","",MONTH(A72))</f>
        <v/>
      </c>
    </row>
    <row r="73">
      <c r="A73" s="9" t="n"/>
      <c r="B73" s="10" t="n"/>
      <c r="C73" s="10" t="n"/>
      <c r="D73" s="10" t="n"/>
      <c r="E73" s="10" t="n"/>
      <c r="F73" s="11" t="n"/>
      <c r="G73" s="12" t="n"/>
      <c r="H73" s="13">
        <f>IF(G73="","",IF(F73="Oui",G73*2,G73))</f>
        <v/>
      </c>
      <c r="I73" s="14">
        <f>IF(A73="","",MONTH(A73))</f>
        <v/>
      </c>
    </row>
    <row r="74">
      <c r="A74" s="9" t="n"/>
      <c r="B74" s="10" t="n"/>
      <c r="C74" s="10" t="n"/>
      <c r="D74" s="10" t="n"/>
      <c r="E74" s="10" t="n"/>
      <c r="F74" s="11" t="n"/>
      <c r="G74" s="12" t="n"/>
      <c r="H74" s="13">
        <f>IF(G74="","",IF(F74="Oui",G74*2,G74))</f>
        <v/>
      </c>
      <c r="I74" s="14">
        <f>IF(A74="","",MONTH(A74))</f>
        <v/>
      </c>
    </row>
    <row r="75">
      <c r="A75" s="9" t="n"/>
      <c r="B75" s="10" t="n"/>
      <c r="C75" s="10" t="n"/>
      <c r="D75" s="10" t="n"/>
      <c r="E75" s="10" t="n"/>
      <c r="F75" s="11" t="n"/>
      <c r="G75" s="12" t="n"/>
      <c r="H75" s="13">
        <f>IF(G75="","",IF(F75="Oui",G75*2,G75))</f>
        <v/>
      </c>
      <c r="I75" s="14">
        <f>IF(A75="","",MONTH(A75))</f>
        <v/>
      </c>
    </row>
    <row r="76">
      <c r="A76" s="9" t="n"/>
      <c r="B76" s="10" t="n"/>
      <c r="C76" s="10" t="n"/>
      <c r="D76" s="10" t="n"/>
      <c r="E76" s="10" t="n"/>
      <c r="F76" s="11" t="n"/>
      <c r="G76" s="12" t="n"/>
      <c r="H76" s="13">
        <f>IF(G76="","",IF(F76="Oui",G76*2,G76))</f>
        <v/>
      </c>
      <c r="I76" s="14">
        <f>IF(A76="","",MONTH(A76))</f>
        <v/>
      </c>
    </row>
    <row r="77">
      <c r="A77" s="9" t="n"/>
      <c r="B77" s="10" t="n"/>
      <c r="C77" s="10" t="n"/>
      <c r="D77" s="10" t="n"/>
      <c r="E77" s="10" t="n"/>
      <c r="F77" s="11" t="n"/>
      <c r="G77" s="12" t="n"/>
      <c r="H77" s="13">
        <f>IF(G77="","",IF(F77="Oui",G77*2,G77))</f>
        <v/>
      </c>
      <c r="I77" s="14">
        <f>IF(A77="","",MONTH(A77))</f>
        <v/>
      </c>
    </row>
    <row r="78">
      <c r="A78" s="9" t="n"/>
      <c r="B78" s="10" t="n"/>
      <c r="C78" s="10" t="n"/>
      <c r="D78" s="10" t="n"/>
      <c r="E78" s="10" t="n"/>
      <c r="F78" s="11" t="n"/>
      <c r="G78" s="12" t="n"/>
      <c r="H78" s="13">
        <f>IF(G78="","",IF(F78="Oui",G78*2,G78))</f>
        <v/>
      </c>
      <c r="I78" s="14">
        <f>IF(A78="","",MONTH(A78))</f>
        <v/>
      </c>
    </row>
    <row r="79">
      <c r="A79" s="9" t="n"/>
      <c r="B79" s="10" t="n"/>
      <c r="C79" s="10" t="n"/>
      <c r="D79" s="10" t="n"/>
      <c r="E79" s="10" t="n"/>
      <c r="F79" s="11" t="n"/>
      <c r="G79" s="12" t="n"/>
      <c r="H79" s="13">
        <f>IF(G79="","",IF(F79="Oui",G79*2,G79))</f>
        <v/>
      </c>
      <c r="I79" s="14">
        <f>IF(A79="","",MONTH(A79))</f>
        <v/>
      </c>
    </row>
    <row r="80">
      <c r="A80" s="9" t="n"/>
      <c r="B80" s="10" t="n"/>
      <c r="C80" s="10" t="n"/>
      <c r="D80" s="10" t="n"/>
      <c r="E80" s="10" t="n"/>
      <c r="F80" s="11" t="n"/>
      <c r="G80" s="12" t="n"/>
      <c r="H80" s="13">
        <f>IF(G80="","",IF(F80="Oui",G80*2,G80))</f>
        <v/>
      </c>
      <c r="I80" s="14">
        <f>IF(A80="","",MONTH(A80))</f>
        <v/>
      </c>
    </row>
    <row r="81">
      <c r="A81" s="9" t="n"/>
      <c r="B81" s="10" t="n"/>
      <c r="C81" s="10" t="n"/>
      <c r="D81" s="10" t="n"/>
      <c r="E81" s="10" t="n"/>
      <c r="F81" s="11" t="n"/>
      <c r="G81" s="12" t="n"/>
      <c r="H81" s="13">
        <f>IF(G81="","",IF(F81="Oui",G81*2,G81))</f>
        <v/>
      </c>
      <c r="I81" s="14">
        <f>IF(A81="","",MONTH(A81))</f>
        <v/>
      </c>
    </row>
    <row r="82">
      <c r="A82" s="9" t="n"/>
      <c r="B82" s="10" t="n"/>
      <c r="C82" s="10" t="n"/>
      <c r="D82" s="10" t="n"/>
      <c r="E82" s="10" t="n"/>
      <c r="F82" s="11" t="n"/>
      <c r="G82" s="12" t="n"/>
      <c r="H82" s="13">
        <f>IF(G82="","",IF(F82="Oui",G82*2,G82))</f>
        <v/>
      </c>
      <c r="I82" s="14">
        <f>IF(A82="","",MONTH(A82))</f>
        <v/>
      </c>
    </row>
    <row r="83">
      <c r="A83" s="9" t="n"/>
      <c r="B83" s="10" t="n"/>
      <c r="C83" s="10" t="n"/>
      <c r="D83" s="10" t="n"/>
      <c r="E83" s="10" t="n"/>
      <c r="F83" s="11" t="n"/>
      <c r="G83" s="12" t="n"/>
      <c r="H83" s="13">
        <f>IF(G83="","",IF(F83="Oui",G83*2,G83))</f>
        <v/>
      </c>
      <c r="I83" s="14">
        <f>IF(A83="","",MONTH(A83))</f>
        <v/>
      </c>
    </row>
    <row r="84">
      <c r="A84" s="9" t="n"/>
      <c r="B84" s="10" t="n"/>
      <c r="C84" s="10" t="n"/>
      <c r="D84" s="10" t="n"/>
      <c r="E84" s="10" t="n"/>
      <c r="F84" s="11" t="n"/>
      <c r="G84" s="12" t="n"/>
      <c r="H84" s="13">
        <f>IF(G84="","",IF(F84="Oui",G84*2,G84))</f>
        <v/>
      </c>
      <c r="I84" s="14">
        <f>IF(A84="","",MONTH(A84))</f>
        <v/>
      </c>
    </row>
    <row r="85">
      <c r="A85" s="9" t="n"/>
      <c r="B85" s="10" t="n"/>
      <c r="C85" s="10" t="n"/>
      <c r="D85" s="10" t="n"/>
      <c r="E85" s="10" t="n"/>
      <c r="F85" s="11" t="n"/>
      <c r="G85" s="12" t="n"/>
      <c r="H85" s="13">
        <f>IF(G85="","",IF(F85="Oui",G85*2,G85))</f>
        <v/>
      </c>
      <c r="I85" s="14">
        <f>IF(A85="","",MONTH(A85))</f>
        <v/>
      </c>
    </row>
    <row r="86">
      <c r="A86" s="9" t="n"/>
      <c r="B86" s="10" t="n"/>
      <c r="C86" s="10" t="n"/>
      <c r="D86" s="10" t="n"/>
      <c r="E86" s="10" t="n"/>
      <c r="F86" s="11" t="n"/>
      <c r="G86" s="12" t="n"/>
      <c r="H86" s="13">
        <f>IF(G86="","",IF(F86="Oui",G86*2,G86))</f>
        <v/>
      </c>
      <c r="I86" s="14">
        <f>IF(A86="","",MONTH(A86))</f>
        <v/>
      </c>
    </row>
    <row r="87">
      <c r="A87" s="9" t="n"/>
      <c r="B87" s="10" t="n"/>
      <c r="C87" s="10" t="n"/>
      <c r="D87" s="10" t="n"/>
      <c r="E87" s="10" t="n"/>
      <c r="F87" s="11" t="n"/>
      <c r="G87" s="12" t="n"/>
      <c r="H87" s="13">
        <f>IF(G87="","",IF(F87="Oui",G87*2,G87))</f>
        <v/>
      </c>
      <c r="I87" s="14">
        <f>IF(A87="","",MONTH(A87))</f>
        <v/>
      </c>
    </row>
    <row r="88">
      <c r="A88" s="9" t="n"/>
      <c r="B88" s="10" t="n"/>
      <c r="C88" s="10" t="n"/>
      <c r="D88" s="10" t="n"/>
      <c r="E88" s="10" t="n"/>
      <c r="F88" s="11" t="n"/>
      <c r="G88" s="12" t="n"/>
      <c r="H88" s="13">
        <f>IF(G88="","",IF(F88="Oui",G88*2,G88))</f>
        <v/>
      </c>
      <c r="I88" s="14">
        <f>IF(A88="","",MONTH(A88))</f>
        <v/>
      </c>
    </row>
    <row r="89">
      <c r="A89" s="9" t="n"/>
      <c r="B89" s="10" t="n"/>
      <c r="C89" s="10" t="n"/>
      <c r="D89" s="10" t="n"/>
      <c r="E89" s="10" t="n"/>
      <c r="F89" s="11" t="n"/>
      <c r="G89" s="12" t="n"/>
      <c r="H89" s="13">
        <f>IF(G89="","",IF(F89="Oui",G89*2,G89))</f>
        <v/>
      </c>
      <c r="I89" s="14">
        <f>IF(A89="","",MONTH(A89))</f>
        <v/>
      </c>
    </row>
    <row r="90">
      <c r="A90" s="9" t="n"/>
      <c r="B90" s="10" t="n"/>
      <c r="C90" s="10" t="n"/>
      <c r="D90" s="10" t="n"/>
      <c r="E90" s="10" t="n"/>
      <c r="F90" s="11" t="n"/>
      <c r="G90" s="12" t="n"/>
      <c r="H90" s="13">
        <f>IF(G90="","",IF(F90="Oui",G90*2,G90))</f>
        <v/>
      </c>
      <c r="I90" s="14">
        <f>IF(A90="","",MONTH(A90))</f>
        <v/>
      </c>
    </row>
    <row r="91">
      <c r="A91" s="9" t="n"/>
      <c r="B91" s="10" t="n"/>
      <c r="C91" s="10" t="n"/>
      <c r="D91" s="10" t="n"/>
      <c r="E91" s="10" t="n"/>
      <c r="F91" s="11" t="n"/>
      <c r="G91" s="12" t="n"/>
      <c r="H91" s="13">
        <f>IF(G91="","",IF(F91="Oui",G91*2,G91))</f>
        <v/>
      </c>
      <c r="I91" s="14">
        <f>IF(A91="","",MONTH(A91))</f>
        <v/>
      </c>
    </row>
    <row r="92">
      <c r="A92" s="9" t="n"/>
      <c r="B92" s="10" t="n"/>
      <c r="C92" s="10" t="n"/>
      <c r="D92" s="10" t="n"/>
      <c r="E92" s="10" t="n"/>
      <c r="F92" s="11" t="n"/>
      <c r="G92" s="12" t="n"/>
      <c r="H92" s="13">
        <f>IF(G92="","",IF(F92="Oui",G92*2,G92))</f>
        <v/>
      </c>
      <c r="I92" s="14">
        <f>IF(A92="","",MONTH(A92))</f>
        <v/>
      </c>
    </row>
    <row r="93">
      <c r="A93" s="9" t="n"/>
      <c r="B93" s="10" t="n"/>
      <c r="C93" s="10" t="n"/>
      <c r="D93" s="10" t="n"/>
      <c r="E93" s="10" t="n"/>
      <c r="F93" s="11" t="n"/>
      <c r="G93" s="12" t="n"/>
      <c r="H93" s="13">
        <f>IF(G93="","",IF(F93="Oui",G93*2,G93))</f>
        <v/>
      </c>
      <c r="I93" s="14">
        <f>IF(A93="","",MONTH(A93))</f>
        <v/>
      </c>
    </row>
    <row r="94">
      <c r="A94" s="9" t="n"/>
      <c r="B94" s="10" t="n"/>
      <c r="C94" s="10" t="n"/>
      <c r="D94" s="10" t="n"/>
      <c r="E94" s="10" t="n"/>
      <c r="F94" s="11" t="n"/>
      <c r="G94" s="12" t="n"/>
      <c r="H94" s="13">
        <f>IF(G94="","",IF(F94="Oui",G94*2,G94))</f>
        <v/>
      </c>
      <c r="I94" s="14">
        <f>IF(A94="","",MONTH(A94))</f>
        <v/>
      </c>
    </row>
    <row r="95">
      <c r="A95" s="9" t="n"/>
      <c r="B95" s="10" t="n"/>
      <c r="C95" s="10" t="n"/>
      <c r="D95" s="10" t="n"/>
      <c r="E95" s="10" t="n"/>
      <c r="F95" s="11" t="n"/>
      <c r="G95" s="12" t="n"/>
      <c r="H95" s="13">
        <f>IF(G95="","",IF(F95="Oui",G95*2,G95))</f>
        <v/>
      </c>
      <c r="I95" s="14">
        <f>IF(A95="","",MONTH(A95))</f>
        <v/>
      </c>
    </row>
    <row r="96">
      <c r="A96" s="9" t="n"/>
      <c r="B96" s="10" t="n"/>
      <c r="C96" s="10" t="n"/>
      <c r="D96" s="10" t="n"/>
      <c r="E96" s="10" t="n"/>
      <c r="F96" s="11" t="n"/>
      <c r="G96" s="12" t="n"/>
      <c r="H96" s="13">
        <f>IF(G96="","",IF(F96="Oui",G96*2,G96))</f>
        <v/>
      </c>
      <c r="I96" s="14">
        <f>IF(A96="","",MONTH(A96))</f>
        <v/>
      </c>
    </row>
    <row r="97">
      <c r="A97" s="9" t="n"/>
      <c r="B97" s="10" t="n"/>
      <c r="C97" s="10" t="n"/>
      <c r="D97" s="10" t="n"/>
      <c r="E97" s="10" t="n"/>
      <c r="F97" s="11" t="n"/>
      <c r="G97" s="12" t="n"/>
      <c r="H97" s="13">
        <f>IF(G97="","",IF(F97="Oui",G97*2,G97))</f>
        <v/>
      </c>
      <c r="I97" s="14">
        <f>IF(A97="","",MONTH(A97))</f>
        <v/>
      </c>
    </row>
    <row r="98">
      <c r="A98" s="9" t="n"/>
      <c r="B98" s="10" t="n"/>
      <c r="C98" s="10" t="n"/>
      <c r="D98" s="10" t="n"/>
      <c r="E98" s="10" t="n"/>
      <c r="F98" s="11" t="n"/>
      <c r="G98" s="12" t="n"/>
      <c r="H98" s="13">
        <f>IF(G98="","",IF(F98="Oui",G98*2,G98))</f>
        <v/>
      </c>
      <c r="I98" s="14">
        <f>IF(A98="","",MONTH(A98))</f>
        <v/>
      </c>
    </row>
    <row r="99">
      <c r="A99" s="9" t="n"/>
      <c r="B99" s="10" t="n"/>
      <c r="C99" s="10" t="n"/>
      <c r="D99" s="10" t="n"/>
      <c r="E99" s="10" t="n"/>
      <c r="F99" s="11" t="n"/>
      <c r="G99" s="12" t="n"/>
      <c r="H99" s="13">
        <f>IF(G99="","",IF(F99="Oui",G99*2,G99))</f>
        <v/>
      </c>
      <c r="I99" s="14">
        <f>IF(A99="","",MONTH(A99))</f>
        <v/>
      </c>
    </row>
    <row r="100">
      <c r="A100" s="9" t="n"/>
      <c r="B100" s="10" t="n"/>
      <c r="C100" s="10" t="n"/>
      <c r="D100" s="10" t="n"/>
      <c r="E100" s="10" t="n"/>
      <c r="F100" s="11" t="n"/>
      <c r="G100" s="12" t="n"/>
      <c r="H100" s="13">
        <f>IF(G100="","",IF(F100="Oui",G100*2,G100))</f>
        <v/>
      </c>
      <c r="I100" s="14">
        <f>IF(A100="","",MONTH(A100))</f>
        <v/>
      </c>
    </row>
    <row r="101">
      <c r="A101" s="9" t="n"/>
      <c r="B101" s="10" t="n"/>
      <c r="C101" s="10" t="n"/>
      <c r="D101" s="10" t="n"/>
      <c r="E101" s="10" t="n"/>
      <c r="F101" s="11" t="n"/>
      <c r="G101" s="12" t="n"/>
      <c r="H101" s="13">
        <f>IF(G101="","",IF(F101="Oui",G101*2,G101))</f>
        <v/>
      </c>
      <c r="I101" s="14">
        <f>IF(A101="","",MONTH(A101))</f>
        <v/>
      </c>
    </row>
    <row r="102">
      <c r="A102" s="9" t="n"/>
      <c r="B102" s="10" t="n"/>
      <c r="C102" s="10" t="n"/>
      <c r="D102" s="10" t="n"/>
      <c r="E102" s="10" t="n"/>
      <c r="F102" s="11" t="n"/>
      <c r="G102" s="12" t="n"/>
      <c r="H102" s="13">
        <f>IF(G102="","",IF(F102="Oui",G102*2,G102))</f>
        <v/>
      </c>
      <c r="I102" s="14">
        <f>IF(A102="","",MONTH(A102))</f>
        <v/>
      </c>
    </row>
    <row r="103">
      <c r="A103" s="9" t="n"/>
      <c r="B103" s="10" t="n"/>
      <c r="C103" s="10" t="n"/>
      <c r="D103" s="10" t="n"/>
      <c r="E103" s="10" t="n"/>
      <c r="F103" s="11" t="n"/>
      <c r="G103" s="12" t="n"/>
      <c r="H103" s="13">
        <f>IF(G103="","",IF(F103="Oui",G103*2,G103))</f>
        <v/>
      </c>
      <c r="I103" s="14">
        <f>IF(A103="","",MONTH(A103))</f>
        <v/>
      </c>
    </row>
    <row r="104">
      <c r="A104" s="9" t="n"/>
      <c r="B104" s="10" t="n"/>
      <c r="C104" s="10" t="n"/>
      <c r="D104" s="10" t="n"/>
      <c r="E104" s="10" t="n"/>
      <c r="F104" s="11" t="n"/>
      <c r="G104" s="12" t="n"/>
      <c r="H104" s="13">
        <f>IF(G104="","",IF(F104="Oui",G104*2,G104))</f>
        <v/>
      </c>
      <c r="I104" s="14">
        <f>IF(A104="","",MONTH(A104))</f>
        <v/>
      </c>
    </row>
    <row r="105">
      <c r="A105" s="9" t="n"/>
      <c r="B105" s="10" t="n"/>
      <c r="C105" s="10" t="n"/>
      <c r="D105" s="10" t="n"/>
      <c r="E105" s="10" t="n"/>
      <c r="F105" s="11" t="n"/>
      <c r="G105" s="12" t="n"/>
      <c r="H105" s="13">
        <f>IF(G105="","",IF(F105="Oui",G105*2,G105))</f>
        <v/>
      </c>
      <c r="I105" s="14">
        <f>IF(A105="","",MONTH(A105))</f>
        <v/>
      </c>
    </row>
    <row r="106">
      <c r="A106" s="9" t="n"/>
      <c r="B106" s="10" t="n"/>
      <c r="C106" s="10" t="n"/>
      <c r="D106" s="10" t="n"/>
      <c r="E106" s="10" t="n"/>
      <c r="F106" s="11" t="n"/>
      <c r="G106" s="12" t="n"/>
      <c r="H106" s="13">
        <f>IF(G106="","",IF(F106="Oui",G106*2,G106))</f>
        <v/>
      </c>
      <c r="I106" s="14">
        <f>IF(A106="","",MONTH(A106))</f>
        <v/>
      </c>
    </row>
    <row r="107">
      <c r="A107" s="9" t="n"/>
      <c r="B107" s="10" t="n"/>
      <c r="C107" s="10" t="n"/>
      <c r="D107" s="10" t="n"/>
      <c r="E107" s="10" t="n"/>
      <c r="F107" s="11" t="n"/>
      <c r="G107" s="12" t="n"/>
      <c r="H107" s="13">
        <f>IF(G107="","",IF(F107="Oui",G107*2,G107))</f>
        <v/>
      </c>
      <c r="I107" s="14">
        <f>IF(A107="","",MONTH(A107))</f>
        <v/>
      </c>
    </row>
    <row r="108">
      <c r="A108" s="9" t="n"/>
      <c r="B108" s="10" t="n"/>
      <c r="C108" s="10" t="n"/>
      <c r="D108" s="10" t="n"/>
      <c r="E108" s="10" t="n"/>
      <c r="F108" s="11" t="n"/>
      <c r="G108" s="12" t="n"/>
      <c r="H108" s="13">
        <f>IF(G108="","",IF(F108="Oui",G108*2,G108))</f>
        <v/>
      </c>
      <c r="I108" s="14">
        <f>IF(A108="","",MONTH(A108))</f>
        <v/>
      </c>
    </row>
    <row r="109">
      <c r="A109" s="9" t="n"/>
      <c r="B109" s="10" t="n"/>
      <c r="C109" s="10" t="n"/>
      <c r="D109" s="10" t="n"/>
      <c r="E109" s="10" t="n"/>
      <c r="F109" s="11" t="n"/>
      <c r="G109" s="12" t="n"/>
      <c r="H109" s="13">
        <f>IF(G109="","",IF(F109="Oui",G109*2,G109))</f>
        <v/>
      </c>
      <c r="I109" s="14">
        <f>IF(A109="","",MONTH(A109))</f>
        <v/>
      </c>
    </row>
    <row r="110">
      <c r="A110" s="9" t="n"/>
      <c r="B110" s="10" t="n"/>
      <c r="C110" s="10" t="n"/>
      <c r="D110" s="10" t="n"/>
      <c r="E110" s="10" t="n"/>
      <c r="F110" s="11" t="n"/>
      <c r="G110" s="12" t="n"/>
      <c r="H110" s="13">
        <f>IF(G110="","",IF(F110="Oui",G110*2,G110))</f>
        <v/>
      </c>
      <c r="I110" s="14">
        <f>IF(A110="","",MONTH(A110))</f>
        <v/>
      </c>
    </row>
    <row r="111">
      <c r="A111" s="9" t="n"/>
      <c r="B111" s="10" t="n"/>
      <c r="C111" s="10" t="n"/>
      <c r="D111" s="10" t="n"/>
      <c r="E111" s="10" t="n"/>
      <c r="F111" s="11" t="n"/>
      <c r="G111" s="12" t="n"/>
      <c r="H111" s="13">
        <f>IF(G111="","",IF(F111="Oui",G111*2,G111))</f>
        <v/>
      </c>
      <c r="I111" s="14">
        <f>IF(A111="","",MONTH(A111))</f>
        <v/>
      </c>
    </row>
    <row r="112">
      <c r="A112" s="9" t="n"/>
      <c r="B112" s="10" t="n"/>
      <c r="C112" s="10" t="n"/>
      <c r="D112" s="10" t="n"/>
      <c r="E112" s="10" t="n"/>
      <c r="F112" s="11" t="n"/>
      <c r="G112" s="12" t="n"/>
      <c r="H112" s="13">
        <f>IF(G112="","",IF(F112="Oui",G112*2,G112))</f>
        <v/>
      </c>
      <c r="I112" s="14">
        <f>IF(A112="","",MONTH(A112))</f>
        <v/>
      </c>
    </row>
    <row r="113">
      <c r="A113" s="9" t="n"/>
      <c r="B113" s="10" t="n"/>
      <c r="C113" s="10" t="n"/>
      <c r="D113" s="10" t="n"/>
      <c r="E113" s="10" t="n"/>
      <c r="F113" s="11" t="n"/>
      <c r="G113" s="12" t="n"/>
      <c r="H113" s="13">
        <f>IF(G113="","",IF(F113="Oui",G113*2,G113))</f>
        <v/>
      </c>
      <c r="I113" s="14">
        <f>IF(A113="","",MONTH(A113))</f>
        <v/>
      </c>
    </row>
    <row r="114">
      <c r="A114" s="9" t="n"/>
      <c r="B114" s="10" t="n"/>
      <c r="C114" s="10" t="n"/>
      <c r="D114" s="10" t="n"/>
      <c r="E114" s="10" t="n"/>
      <c r="F114" s="11" t="n"/>
      <c r="G114" s="12" t="n"/>
      <c r="H114" s="13">
        <f>IF(G114="","",IF(F114="Oui",G114*2,G114))</f>
        <v/>
      </c>
      <c r="I114" s="14">
        <f>IF(A114="","",MONTH(A114))</f>
        <v/>
      </c>
    </row>
    <row r="115">
      <c r="A115" s="9" t="n"/>
      <c r="B115" s="10" t="n"/>
      <c r="C115" s="10" t="n"/>
      <c r="D115" s="10" t="n"/>
      <c r="E115" s="10" t="n"/>
      <c r="F115" s="11" t="n"/>
      <c r="G115" s="12" t="n"/>
      <c r="H115" s="13">
        <f>IF(G115="","",IF(F115="Oui",G115*2,G115))</f>
        <v/>
      </c>
      <c r="I115" s="14">
        <f>IF(A115="","",MONTH(A115))</f>
        <v/>
      </c>
    </row>
    <row r="116">
      <c r="A116" s="9" t="n"/>
      <c r="B116" s="10" t="n"/>
      <c r="C116" s="10" t="n"/>
      <c r="D116" s="10" t="n"/>
      <c r="E116" s="10" t="n"/>
      <c r="F116" s="11" t="n"/>
      <c r="G116" s="12" t="n"/>
      <c r="H116" s="13">
        <f>IF(G116="","",IF(F116="Oui",G116*2,G116))</f>
        <v/>
      </c>
      <c r="I116" s="14">
        <f>IF(A116="","",MONTH(A116))</f>
        <v/>
      </c>
    </row>
    <row r="117">
      <c r="A117" s="9" t="n"/>
      <c r="B117" s="10" t="n"/>
      <c r="C117" s="10" t="n"/>
      <c r="D117" s="10" t="n"/>
      <c r="E117" s="10" t="n"/>
      <c r="F117" s="11" t="n"/>
      <c r="G117" s="12" t="n"/>
      <c r="H117" s="13">
        <f>IF(G117="","",IF(F117="Oui",G117*2,G117))</f>
        <v/>
      </c>
      <c r="I117" s="14">
        <f>IF(A117="","",MONTH(A117))</f>
        <v/>
      </c>
    </row>
    <row r="118">
      <c r="A118" s="9" t="n"/>
      <c r="B118" s="10" t="n"/>
      <c r="C118" s="10" t="n"/>
      <c r="D118" s="10" t="n"/>
      <c r="E118" s="10" t="n"/>
      <c r="F118" s="11" t="n"/>
      <c r="G118" s="12" t="n"/>
      <c r="H118" s="13">
        <f>IF(G118="","",IF(F118="Oui",G118*2,G118))</f>
        <v/>
      </c>
      <c r="I118" s="14">
        <f>IF(A118="","",MONTH(A118))</f>
        <v/>
      </c>
    </row>
    <row r="119">
      <c r="A119" s="9" t="n"/>
      <c r="B119" s="10" t="n"/>
      <c r="C119" s="10" t="n"/>
      <c r="D119" s="10" t="n"/>
      <c r="E119" s="10" t="n"/>
      <c r="F119" s="11" t="n"/>
      <c r="G119" s="12" t="n"/>
      <c r="H119" s="13">
        <f>IF(G119="","",IF(F119="Oui",G119*2,G119))</f>
        <v/>
      </c>
      <c r="I119" s="14">
        <f>IF(A119="","",MONTH(A119))</f>
        <v/>
      </c>
    </row>
    <row r="120">
      <c r="A120" s="9" t="n"/>
      <c r="B120" s="10" t="n"/>
      <c r="C120" s="10" t="n"/>
      <c r="D120" s="10" t="n"/>
      <c r="E120" s="10" t="n"/>
      <c r="F120" s="11" t="n"/>
      <c r="G120" s="12" t="n"/>
      <c r="H120" s="13">
        <f>IF(G120="","",IF(F120="Oui",G120*2,G120))</f>
        <v/>
      </c>
      <c r="I120" s="14">
        <f>IF(A120="","",MONTH(A120))</f>
        <v/>
      </c>
    </row>
    <row r="121">
      <c r="A121" s="9" t="n"/>
      <c r="B121" s="10" t="n"/>
      <c r="C121" s="10" t="n"/>
      <c r="D121" s="10" t="n"/>
      <c r="E121" s="10" t="n"/>
      <c r="F121" s="11" t="n"/>
      <c r="G121" s="12" t="n"/>
      <c r="H121" s="13">
        <f>IF(G121="","",IF(F121="Oui",G121*2,G121))</f>
        <v/>
      </c>
      <c r="I121" s="14">
        <f>IF(A121="","",MONTH(A121))</f>
        <v/>
      </c>
    </row>
    <row r="122">
      <c r="A122" s="9" t="n"/>
      <c r="B122" s="10" t="n"/>
      <c r="C122" s="10" t="n"/>
      <c r="D122" s="10" t="n"/>
      <c r="E122" s="10" t="n"/>
      <c r="F122" s="11" t="n"/>
      <c r="G122" s="12" t="n"/>
      <c r="H122" s="13">
        <f>IF(G122="","",IF(F122="Oui",G122*2,G122))</f>
        <v/>
      </c>
      <c r="I122" s="14">
        <f>IF(A122="","",MONTH(A122))</f>
        <v/>
      </c>
    </row>
    <row r="123">
      <c r="A123" s="9" t="n"/>
      <c r="B123" s="10" t="n"/>
      <c r="C123" s="10" t="n"/>
      <c r="D123" s="10" t="n"/>
      <c r="E123" s="10" t="n"/>
      <c r="F123" s="11" t="n"/>
      <c r="G123" s="12" t="n"/>
      <c r="H123" s="13">
        <f>IF(G123="","",IF(F123="Oui",G123*2,G123))</f>
        <v/>
      </c>
      <c r="I123" s="14">
        <f>IF(A123="","",MONTH(A123))</f>
        <v/>
      </c>
    </row>
    <row r="124">
      <c r="A124" s="9" t="n"/>
      <c r="B124" s="10" t="n"/>
      <c r="C124" s="10" t="n"/>
      <c r="D124" s="10" t="n"/>
      <c r="E124" s="10" t="n"/>
      <c r="F124" s="11" t="n"/>
      <c r="G124" s="12" t="n"/>
      <c r="H124" s="13">
        <f>IF(G124="","",IF(F124="Oui",G124*2,G124))</f>
        <v/>
      </c>
      <c r="I124" s="14">
        <f>IF(A124="","",MONTH(A124))</f>
        <v/>
      </c>
    </row>
    <row r="125">
      <c r="A125" s="9" t="n"/>
      <c r="B125" s="10" t="n"/>
      <c r="C125" s="10" t="n"/>
      <c r="D125" s="10" t="n"/>
      <c r="E125" s="10" t="n"/>
      <c r="F125" s="11" t="n"/>
      <c r="G125" s="12" t="n"/>
      <c r="H125" s="13">
        <f>IF(G125="","",IF(F125="Oui",G125*2,G125))</f>
        <v/>
      </c>
      <c r="I125" s="14">
        <f>IF(A125="","",MONTH(A125))</f>
        <v/>
      </c>
    </row>
    <row r="126">
      <c r="A126" s="9" t="n"/>
      <c r="B126" s="10" t="n"/>
      <c r="C126" s="10" t="n"/>
      <c r="D126" s="10" t="n"/>
      <c r="E126" s="10" t="n"/>
      <c r="F126" s="11" t="n"/>
      <c r="G126" s="12" t="n"/>
      <c r="H126" s="13">
        <f>IF(G126="","",IF(F126="Oui",G126*2,G126))</f>
        <v/>
      </c>
      <c r="I126" s="14">
        <f>IF(A126="","",MONTH(A126))</f>
        <v/>
      </c>
    </row>
    <row r="127">
      <c r="A127" s="9" t="n"/>
      <c r="B127" s="10" t="n"/>
      <c r="C127" s="10" t="n"/>
      <c r="D127" s="10" t="n"/>
      <c r="E127" s="10" t="n"/>
      <c r="F127" s="11" t="n"/>
      <c r="G127" s="12" t="n"/>
      <c r="H127" s="13">
        <f>IF(G127="","",IF(F127="Oui",G127*2,G127))</f>
        <v/>
      </c>
      <c r="I127" s="14">
        <f>IF(A127="","",MONTH(A127))</f>
        <v/>
      </c>
    </row>
    <row r="128">
      <c r="A128" s="9" t="n"/>
      <c r="B128" s="10" t="n"/>
      <c r="C128" s="10" t="n"/>
      <c r="D128" s="10" t="n"/>
      <c r="E128" s="10" t="n"/>
      <c r="F128" s="11" t="n"/>
      <c r="G128" s="12" t="n"/>
      <c r="H128" s="13">
        <f>IF(G128="","",IF(F128="Oui",G128*2,G128))</f>
        <v/>
      </c>
      <c r="I128" s="14">
        <f>IF(A128="","",MONTH(A128))</f>
        <v/>
      </c>
    </row>
    <row r="129">
      <c r="A129" s="9" t="n"/>
      <c r="B129" s="10" t="n"/>
      <c r="C129" s="10" t="n"/>
      <c r="D129" s="10" t="n"/>
      <c r="E129" s="10" t="n"/>
      <c r="F129" s="11" t="n"/>
      <c r="G129" s="12" t="n"/>
      <c r="H129" s="13">
        <f>IF(G129="","",IF(F129="Oui",G129*2,G129))</f>
        <v/>
      </c>
      <c r="I129" s="14">
        <f>IF(A129="","",MONTH(A129))</f>
        <v/>
      </c>
    </row>
    <row r="130">
      <c r="A130" s="9" t="n"/>
      <c r="B130" s="10" t="n"/>
      <c r="C130" s="10" t="n"/>
      <c r="D130" s="10" t="n"/>
      <c r="E130" s="10" t="n"/>
      <c r="F130" s="11" t="n"/>
      <c r="G130" s="12" t="n"/>
      <c r="H130" s="13">
        <f>IF(G130="","",IF(F130="Oui",G130*2,G130))</f>
        <v/>
      </c>
      <c r="I130" s="14">
        <f>IF(A130="","",MONTH(A130))</f>
        <v/>
      </c>
    </row>
    <row r="131">
      <c r="A131" s="9" t="n"/>
      <c r="B131" s="10" t="n"/>
      <c r="C131" s="10" t="n"/>
      <c r="D131" s="10" t="n"/>
      <c r="E131" s="10" t="n"/>
      <c r="F131" s="11" t="n"/>
      <c r="G131" s="12" t="n"/>
      <c r="H131" s="13">
        <f>IF(G131="","",IF(F131="Oui",G131*2,G131))</f>
        <v/>
      </c>
      <c r="I131" s="14">
        <f>IF(A131="","",MONTH(A131))</f>
        <v/>
      </c>
    </row>
    <row r="132">
      <c r="A132" s="9" t="n"/>
      <c r="B132" s="10" t="n"/>
      <c r="C132" s="10" t="n"/>
      <c r="D132" s="10" t="n"/>
      <c r="E132" s="10" t="n"/>
      <c r="F132" s="11" t="n"/>
      <c r="G132" s="12" t="n"/>
      <c r="H132" s="13">
        <f>IF(G132="","",IF(F132="Oui",G132*2,G132))</f>
        <v/>
      </c>
      <c r="I132" s="14">
        <f>IF(A132="","",MONTH(A132))</f>
        <v/>
      </c>
    </row>
    <row r="133">
      <c r="A133" s="9" t="n"/>
      <c r="B133" s="10" t="n"/>
      <c r="C133" s="10" t="n"/>
      <c r="D133" s="10" t="n"/>
      <c r="E133" s="10" t="n"/>
      <c r="F133" s="11" t="n"/>
      <c r="G133" s="12" t="n"/>
      <c r="H133" s="13">
        <f>IF(G133="","",IF(F133="Oui",G133*2,G133))</f>
        <v/>
      </c>
      <c r="I133" s="14">
        <f>IF(A133="","",MONTH(A133))</f>
        <v/>
      </c>
    </row>
    <row r="134">
      <c r="A134" s="9" t="n"/>
      <c r="B134" s="10" t="n"/>
      <c r="C134" s="10" t="n"/>
      <c r="D134" s="10" t="n"/>
      <c r="E134" s="10" t="n"/>
      <c r="F134" s="11" t="n"/>
      <c r="G134" s="12" t="n"/>
      <c r="H134" s="13">
        <f>IF(G134="","",IF(F134="Oui",G134*2,G134))</f>
        <v/>
      </c>
      <c r="I134" s="14">
        <f>IF(A134="","",MONTH(A134))</f>
        <v/>
      </c>
    </row>
    <row r="135">
      <c r="A135" s="9" t="n"/>
      <c r="B135" s="10" t="n"/>
      <c r="C135" s="10" t="n"/>
      <c r="D135" s="10" t="n"/>
      <c r="E135" s="10" t="n"/>
      <c r="F135" s="11" t="n"/>
      <c r="G135" s="12" t="n"/>
      <c r="H135" s="13">
        <f>IF(G135="","",IF(F135="Oui",G135*2,G135))</f>
        <v/>
      </c>
      <c r="I135" s="14">
        <f>IF(A135="","",MONTH(A135))</f>
        <v/>
      </c>
    </row>
    <row r="136">
      <c r="A136" s="9" t="n"/>
      <c r="B136" s="10" t="n"/>
      <c r="C136" s="10" t="n"/>
      <c r="D136" s="10" t="n"/>
      <c r="E136" s="10" t="n"/>
      <c r="F136" s="11" t="n"/>
      <c r="G136" s="12" t="n"/>
      <c r="H136" s="13">
        <f>IF(G136="","",IF(F136="Oui",G136*2,G136))</f>
        <v/>
      </c>
      <c r="I136" s="14">
        <f>IF(A136="","",MONTH(A136))</f>
        <v/>
      </c>
    </row>
    <row r="137">
      <c r="A137" s="9" t="n"/>
      <c r="B137" s="10" t="n"/>
      <c r="C137" s="10" t="n"/>
      <c r="D137" s="10" t="n"/>
      <c r="E137" s="10" t="n"/>
      <c r="F137" s="11" t="n"/>
      <c r="G137" s="12" t="n"/>
      <c r="H137" s="13">
        <f>IF(G137="","",IF(F137="Oui",G137*2,G137))</f>
        <v/>
      </c>
      <c r="I137" s="14">
        <f>IF(A137="","",MONTH(A137))</f>
        <v/>
      </c>
    </row>
    <row r="138">
      <c r="A138" s="9" t="n"/>
      <c r="B138" s="10" t="n"/>
      <c r="C138" s="10" t="n"/>
      <c r="D138" s="10" t="n"/>
      <c r="E138" s="10" t="n"/>
      <c r="F138" s="11" t="n"/>
      <c r="G138" s="12" t="n"/>
      <c r="H138" s="13">
        <f>IF(G138="","",IF(F138="Oui",G138*2,G138))</f>
        <v/>
      </c>
      <c r="I138" s="14">
        <f>IF(A138="","",MONTH(A138))</f>
        <v/>
      </c>
    </row>
    <row r="139">
      <c r="A139" s="9" t="n"/>
      <c r="B139" s="10" t="n"/>
      <c r="C139" s="10" t="n"/>
      <c r="D139" s="10" t="n"/>
      <c r="E139" s="10" t="n"/>
      <c r="F139" s="11" t="n"/>
      <c r="G139" s="12" t="n"/>
      <c r="H139" s="13">
        <f>IF(G139="","",IF(F139="Oui",G139*2,G139))</f>
        <v/>
      </c>
      <c r="I139" s="14">
        <f>IF(A139="","",MONTH(A139))</f>
        <v/>
      </c>
    </row>
    <row r="140">
      <c r="A140" s="9" t="n"/>
      <c r="B140" s="10" t="n"/>
      <c r="C140" s="10" t="n"/>
      <c r="D140" s="10" t="n"/>
      <c r="E140" s="10" t="n"/>
      <c r="F140" s="11" t="n"/>
      <c r="G140" s="12" t="n"/>
      <c r="H140" s="13">
        <f>IF(G140="","",IF(F140="Oui",G140*2,G140))</f>
        <v/>
      </c>
      <c r="I140" s="14">
        <f>IF(A140="","",MONTH(A140))</f>
        <v/>
      </c>
    </row>
    <row r="141">
      <c r="A141" s="9" t="n"/>
      <c r="B141" s="10" t="n"/>
      <c r="C141" s="10" t="n"/>
      <c r="D141" s="10" t="n"/>
      <c r="E141" s="10" t="n"/>
      <c r="F141" s="11" t="n"/>
      <c r="G141" s="12" t="n"/>
      <c r="H141" s="13">
        <f>IF(G141="","",IF(F141="Oui",G141*2,G141))</f>
        <v/>
      </c>
      <c r="I141" s="14">
        <f>IF(A141="","",MONTH(A141))</f>
        <v/>
      </c>
    </row>
    <row r="142">
      <c r="A142" s="9" t="n"/>
      <c r="B142" s="10" t="n"/>
      <c r="C142" s="10" t="n"/>
      <c r="D142" s="10" t="n"/>
      <c r="E142" s="10" t="n"/>
      <c r="F142" s="11" t="n"/>
      <c r="G142" s="12" t="n"/>
      <c r="H142" s="13">
        <f>IF(G142="","",IF(F142="Oui",G142*2,G142))</f>
        <v/>
      </c>
      <c r="I142" s="14">
        <f>IF(A142="","",MONTH(A142))</f>
        <v/>
      </c>
    </row>
    <row r="143">
      <c r="A143" s="9" t="n"/>
      <c r="B143" s="10" t="n"/>
      <c r="C143" s="10" t="n"/>
      <c r="D143" s="10" t="n"/>
      <c r="E143" s="10" t="n"/>
      <c r="F143" s="11" t="n"/>
      <c r="G143" s="12" t="n"/>
      <c r="H143" s="13">
        <f>IF(G143="","",IF(F143="Oui",G143*2,G143))</f>
        <v/>
      </c>
      <c r="I143" s="14">
        <f>IF(A143="","",MONTH(A143))</f>
        <v/>
      </c>
    </row>
    <row r="144">
      <c r="A144" s="9" t="n"/>
      <c r="B144" s="10" t="n"/>
      <c r="C144" s="10" t="n"/>
      <c r="D144" s="10" t="n"/>
      <c r="E144" s="10" t="n"/>
      <c r="F144" s="11" t="n"/>
      <c r="G144" s="12" t="n"/>
      <c r="H144" s="13">
        <f>IF(G144="","",IF(F144="Oui",G144*2,G144))</f>
        <v/>
      </c>
      <c r="I144" s="14">
        <f>IF(A144="","",MONTH(A144))</f>
        <v/>
      </c>
    </row>
    <row r="145">
      <c r="A145" s="9" t="n"/>
      <c r="B145" s="10" t="n"/>
      <c r="C145" s="10" t="n"/>
      <c r="D145" s="10" t="n"/>
      <c r="E145" s="10" t="n"/>
      <c r="F145" s="11" t="n"/>
      <c r="G145" s="12" t="n"/>
      <c r="H145" s="13">
        <f>IF(G145="","",IF(F145="Oui",G145*2,G145))</f>
        <v/>
      </c>
      <c r="I145" s="14">
        <f>IF(A145="","",MONTH(A145))</f>
        <v/>
      </c>
    </row>
    <row r="146">
      <c r="A146" s="9" t="n"/>
      <c r="B146" s="10" t="n"/>
      <c r="C146" s="10" t="n"/>
      <c r="D146" s="10" t="n"/>
      <c r="E146" s="10" t="n"/>
      <c r="F146" s="11" t="n"/>
      <c r="G146" s="12" t="n"/>
      <c r="H146" s="13">
        <f>IF(G146="","",IF(F146="Oui",G146*2,G146))</f>
        <v/>
      </c>
      <c r="I146" s="14">
        <f>IF(A146="","",MONTH(A146))</f>
        <v/>
      </c>
    </row>
    <row r="147">
      <c r="A147" s="9" t="n"/>
      <c r="B147" s="10" t="n"/>
      <c r="C147" s="10" t="n"/>
      <c r="D147" s="10" t="n"/>
      <c r="E147" s="10" t="n"/>
      <c r="F147" s="11" t="n"/>
      <c r="G147" s="12" t="n"/>
      <c r="H147" s="13">
        <f>IF(G147="","",IF(F147="Oui",G147*2,G147))</f>
        <v/>
      </c>
      <c r="I147" s="14">
        <f>IF(A147="","",MONTH(A147))</f>
        <v/>
      </c>
    </row>
    <row r="148">
      <c r="A148" s="9" t="n"/>
      <c r="B148" s="10" t="n"/>
      <c r="C148" s="10" t="n"/>
      <c r="D148" s="10" t="n"/>
      <c r="E148" s="10" t="n"/>
      <c r="F148" s="11" t="n"/>
      <c r="G148" s="12" t="n"/>
      <c r="H148" s="13">
        <f>IF(G148="","",IF(F148="Oui",G148*2,G148))</f>
        <v/>
      </c>
      <c r="I148" s="14">
        <f>IF(A148="","",MONTH(A148))</f>
        <v/>
      </c>
    </row>
    <row r="149">
      <c r="A149" s="9" t="n"/>
      <c r="B149" s="10" t="n"/>
      <c r="C149" s="10" t="n"/>
      <c r="D149" s="10" t="n"/>
      <c r="E149" s="10" t="n"/>
      <c r="F149" s="11" t="n"/>
      <c r="G149" s="12" t="n"/>
      <c r="H149" s="13">
        <f>IF(G149="","",IF(F149="Oui",G149*2,G149))</f>
        <v/>
      </c>
      <c r="I149" s="14">
        <f>IF(A149="","",MONTH(A149))</f>
        <v/>
      </c>
    </row>
    <row r="150">
      <c r="A150" s="9" t="n"/>
      <c r="B150" s="10" t="n"/>
      <c r="C150" s="10" t="n"/>
      <c r="D150" s="10" t="n"/>
      <c r="E150" s="10" t="n"/>
      <c r="F150" s="11" t="n"/>
      <c r="G150" s="12" t="n"/>
      <c r="H150" s="13">
        <f>IF(G150="","",IF(F150="Oui",G150*2,G150))</f>
        <v/>
      </c>
      <c r="I150" s="14">
        <f>IF(A150="","",MONTH(A150))</f>
        <v/>
      </c>
    </row>
    <row r="151">
      <c r="A151" s="9" t="n"/>
      <c r="B151" s="10" t="n"/>
      <c r="C151" s="10" t="n"/>
      <c r="D151" s="10" t="n"/>
      <c r="E151" s="10" t="n"/>
      <c r="F151" s="11" t="n"/>
      <c r="G151" s="12" t="n"/>
      <c r="H151" s="13">
        <f>IF(G151="","",IF(F151="Oui",G151*2,G151))</f>
        <v/>
      </c>
      <c r="I151" s="14">
        <f>IF(A151="","",MONTH(A151))</f>
        <v/>
      </c>
    </row>
    <row r="152">
      <c r="A152" s="9" t="n"/>
      <c r="B152" s="10" t="n"/>
      <c r="C152" s="10" t="n"/>
      <c r="D152" s="10" t="n"/>
      <c r="E152" s="10" t="n"/>
      <c r="F152" s="11" t="n"/>
      <c r="G152" s="12" t="n"/>
      <c r="H152" s="13">
        <f>IF(G152="","",IF(F152="Oui",G152*2,G152))</f>
        <v/>
      </c>
      <c r="I152" s="14">
        <f>IF(A152="","",MONTH(A152))</f>
        <v/>
      </c>
    </row>
    <row r="153">
      <c r="A153" s="9" t="n"/>
      <c r="B153" s="10" t="n"/>
      <c r="C153" s="10" t="n"/>
      <c r="D153" s="10" t="n"/>
      <c r="E153" s="10" t="n"/>
      <c r="F153" s="11" t="n"/>
      <c r="G153" s="12" t="n"/>
      <c r="H153" s="13">
        <f>IF(G153="","",IF(F153="Oui",G153*2,G153))</f>
        <v/>
      </c>
      <c r="I153" s="14">
        <f>IF(A153="","",MONTH(A153))</f>
        <v/>
      </c>
    </row>
    <row r="154">
      <c r="A154" s="9" t="n"/>
      <c r="B154" s="10" t="n"/>
      <c r="C154" s="10" t="n"/>
      <c r="D154" s="10" t="n"/>
      <c r="E154" s="10" t="n"/>
      <c r="F154" s="11" t="n"/>
      <c r="G154" s="12" t="n"/>
      <c r="H154" s="13">
        <f>IF(G154="","",IF(F154="Oui",G154*2,G154))</f>
        <v/>
      </c>
      <c r="I154" s="14">
        <f>IF(A154="","",MONTH(A154))</f>
        <v/>
      </c>
    </row>
    <row r="155">
      <c r="A155" s="9" t="n"/>
      <c r="B155" s="10" t="n"/>
      <c r="C155" s="10" t="n"/>
      <c r="D155" s="10" t="n"/>
      <c r="E155" s="10" t="n"/>
      <c r="F155" s="11" t="n"/>
      <c r="G155" s="12" t="n"/>
      <c r="H155" s="13">
        <f>IF(G155="","",IF(F155="Oui",G155*2,G155))</f>
        <v/>
      </c>
      <c r="I155" s="14">
        <f>IF(A155="","",MONTH(A155))</f>
        <v/>
      </c>
    </row>
    <row r="156">
      <c r="A156" s="9" t="n"/>
      <c r="B156" s="10" t="n"/>
      <c r="C156" s="10" t="n"/>
      <c r="D156" s="10" t="n"/>
      <c r="E156" s="10" t="n"/>
      <c r="F156" s="11" t="n"/>
      <c r="G156" s="12" t="n"/>
      <c r="H156" s="13">
        <f>IF(G156="","",IF(F156="Oui",G156*2,G156))</f>
        <v/>
      </c>
      <c r="I156" s="14">
        <f>IF(A156="","",MONTH(A156))</f>
        <v/>
      </c>
    </row>
    <row r="157">
      <c r="A157" s="9" t="n"/>
      <c r="B157" s="10" t="n"/>
      <c r="C157" s="10" t="n"/>
      <c r="D157" s="10" t="n"/>
      <c r="E157" s="10" t="n"/>
      <c r="F157" s="11" t="n"/>
      <c r="G157" s="12" t="n"/>
      <c r="H157" s="13">
        <f>IF(G157="","",IF(F157="Oui",G157*2,G157))</f>
        <v/>
      </c>
      <c r="I157" s="14">
        <f>IF(A157="","",MONTH(A157))</f>
        <v/>
      </c>
    </row>
    <row r="158">
      <c r="A158" s="9" t="n"/>
      <c r="B158" s="10" t="n"/>
      <c r="C158" s="10" t="n"/>
      <c r="D158" s="10" t="n"/>
      <c r="E158" s="10" t="n"/>
      <c r="F158" s="11" t="n"/>
      <c r="G158" s="12" t="n"/>
      <c r="H158" s="13">
        <f>IF(G158="","",IF(F158="Oui",G158*2,G158))</f>
        <v/>
      </c>
      <c r="I158" s="14">
        <f>IF(A158="","",MONTH(A158))</f>
        <v/>
      </c>
    </row>
    <row r="159">
      <c r="A159" s="9" t="n"/>
      <c r="B159" s="10" t="n"/>
      <c r="C159" s="10" t="n"/>
      <c r="D159" s="10" t="n"/>
      <c r="E159" s="10" t="n"/>
      <c r="F159" s="11" t="n"/>
      <c r="G159" s="12" t="n"/>
      <c r="H159" s="13">
        <f>IF(G159="","",IF(F159="Oui",G159*2,G159))</f>
        <v/>
      </c>
      <c r="I159" s="14">
        <f>IF(A159="","",MONTH(A159))</f>
        <v/>
      </c>
    </row>
    <row r="160">
      <c r="A160" s="9" t="n"/>
      <c r="B160" s="10" t="n"/>
      <c r="C160" s="10" t="n"/>
      <c r="D160" s="10" t="n"/>
      <c r="E160" s="10" t="n"/>
      <c r="F160" s="11" t="n"/>
      <c r="G160" s="12" t="n"/>
      <c r="H160" s="13">
        <f>IF(G160="","",IF(F160="Oui",G160*2,G160))</f>
        <v/>
      </c>
      <c r="I160" s="14">
        <f>IF(A160="","",MONTH(A160))</f>
        <v/>
      </c>
    </row>
    <row r="161">
      <c r="A161" s="9" t="n"/>
      <c r="B161" s="10" t="n"/>
      <c r="C161" s="10" t="n"/>
      <c r="D161" s="10" t="n"/>
      <c r="E161" s="10" t="n"/>
      <c r="F161" s="11" t="n"/>
      <c r="G161" s="12" t="n"/>
      <c r="H161" s="13">
        <f>IF(G161="","",IF(F161="Oui",G161*2,G161))</f>
        <v/>
      </c>
      <c r="I161" s="14">
        <f>IF(A161="","",MONTH(A161))</f>
        <v/>
      </c>
    </row>
    <row r="162">
      <c r="A162" s="9" t="n"/>
      <c r="B162" s="10" t="n"/>
      <c r="C162" s="10" t="n"/>
      <c r="D162" s="10" t="n"/>
      <c r="E162" s="10" t="n"/>
      <c r="F162" s="11" t="n"/>
      <c r="G162" s="12" t="n"/>
      <c r="H162" s="13">
        <f>IF(G162="","",IF(F162="Oui",G162*2,G162))</f>
        <v/>
      </c>
      <c r="I162" s="14">
        <f>IF(A162="","",MONTH(A162))</f>
        <v/>
      </c>
    </row>
    <row r="163">
      <c r="A163" s="9" t="n"/>
      <c r="B163" s="10" t="n"/>
      <c r="C163" s="10" t="n"/>
      <c r="D163" s="10" t="n"/>
      <c r="E163" s="10" t="n"/>
      <c r="F163" s="11" t="n"/>
      <c r="G163" s="12" t="n"/>
      <c r="H163" s="13">
        <f>IF(G163="","",IF(F163="Oui",G163*2,G163))</f>
        <v/>
      </c>
      <c r="I163" s="14">
        <f>IF(A163="","",MONTH(A163))</f>
        <v/>
      </c>
    </row>
    <row r="164">
      <c r="A164" s="9" t="n"/>
      <c r="B164" s="10" t="n"/>
      <c r="C164" s="10" t="n"/>
      <c r="D164" s="10" t="n"/>
      <c r="E164" s="10" t="n"/>
      <c r="F164" s="11" t="n"/>
      <c r="G164" s="12" t="n"/>
      <c r="H164" s="13">
        <f>IF(G164="","",IF(F164="Oui",G164*2,G164))</f>
        <v/>
      </c>
      <c r="I164" s="14">
        <f>IF(A164="","",MONTH(A164))</f>
        <v/>
      </c>
    </row>
    <row r="165">
      <c r="A165" s="9" t="n"/>
      <c r="B165" s="10" t="n"/>
      <c r="C165" s="10" t="n"/>
      <c r="D165" s="10" t="n"/>
      <c r="E165" s="10" t="n"/>
      <c r="F165" s="11" t="n"/>
      <c r="G165" s="12" t="n"/>
      <c r="H165" s="13">
        <f>IF(G165="","",IF(F165="Oui",G165*2,G165))</f>
        <v/>
      </c>
      <c r="I165" s="14">
        <f>IF(A165="","",MONTH(A165))</f>
        <v/>
      </c>
    </row>
    <row r="166">
      <c r="A166" s="9" t="n"/>
      <c r="B166" s="10" t="n"/>
      <c r="C166" s="10" t="n"/>
      <c r="D166" s="10" t="n"/>
      <c r="E166" s="10" t="n"/>
      <c r="F166" s="11" t="n"/>
      <c r="G166" s="12" t="n"/>
      <c r="H166" s="13">
        <f>IF(G166="","",IF(F166="Oui",G166*2,G166))</f>
        <v/>
      </c>
      <c r="I166" s="14">
        <f>IF(A166="","",MONTH(A166))</f>
        <v/>
      </c>
    </row>
    <row r="167">
      <c r="A167" s="9" t="n"/>
      <c r="B167" s="10" t="n"/>
      <c r="C167" s="10" t="n"/>
      <c r="D167" s="10" t="n"/>
      <c r="E167" s="10" t="n"/>
      <c r="F167" s="11" t="n"/>
      <c r="G167" s="12" t="n"/>
      <c r="H167" s="13">
        <f>IF(G167="","",IF(F167="Oui",G167*2,G167))</f>
        <v/>
      </c>
      <c r="I167" s="14">
        <f>IF(A167="","",MONTH(A167))</f>
        <v/>
      </c>
    </row>
    <row r="168">
      <c r="A168" s="9" t="n"/>
      <c r="B168" s="10" t="n"/>
      <c r="C168" s="10" t="n"/>
      <c r="D168" s="10" t="n"/>
      <c r="E168" s="10" t="n"/>
      <c r="F168" s="11" t="n"/>
      <c r="G168" s="12" t="n"/>
      <c r="H168" s="13">
        <f>IF(G168="","",IF(F168="Oui",G168*2,G168))</f>
        <v/>
      </c>
      <c r="I168" s="14">
        <f>IF(A168="","",MONTH(A168))</f>
        <v/>
      </c>
    </row>
    <row r="169">
      <c r="A169" s="9" t="n"/>
      <c r="B169" s="10" t="n"/>
      <c r="C169" s="10" t="n"/>
      <c r="D169" s="10" t="n"/>
      <c r="E169" s="10" t="n"/>
      <c r="F169" s="11" t="n"/>
      <c r="G169" s="12" t="n"/>
      <c r="H169" s="13">
        <f>IF(G169="","",IF(F169="Oui",G169*2,G169))</f>
        <v/>
      </c>
      <c r="I169" s="14">
        <f>IF(A169="","",MONTH(A169))</f>
        <v/>
      </c>
    </row>
    <row r="170">
      <c r="A170" s="9" t="n"/>
      <c r="B170" s="10" t="n"/>
      <c r="C170" s="10" t="n"/>
      <c r="D170" s="10" t="n"/>
      <c r="E170" s="10" t="n"/>
      <c r="F170" s="11" t="n"/>
      <c r="G170" s="12" t="n"/>
      <c r="H170" s="13">
        <f>IF(G170="","",IF(F170="Oui",G170*2,G170))</f>
        <v/>
      </c>
      <c r="I170" s="14">
        <f>IF(A170="","",MONTH(A170))</f>
        <v/>
      </c>
    </row>
    <row r="171">
      <c r="A171" s="9" t="n"/>
      <c r="B171" s="10" t="n"/>
      <c r="C171" s="10" t="n"/>
      <c r="D171" s="10" t="n"/>
      <c r="E171" s="10" t="n"/>
      <c r="F171" s="11" t="n"/>
      <c r="G171" s="12" t="n"/>
      <c r="H171" s="13">
        <f>IF(G171="","",IF(F171="Oui",G171*2,G171))</f>
        <v/>
      </c>
      <c r="I171" s="14">
        <f>IF(A171="","",MONTH(A171))</f>
        <v/>
      </c>
    </row>
    <row r="172">
      <c r="A172" s="9" t="n"/>
      <c r="B172" s="10" t="n"/>
      <c r="C172" s="10" t="n"/>
      <c r="D172" s="10" t="n"/>
      <c r="E172" s="10" t="n"/>
      <c r="F172" s="11" t="n"/>
      <c r="G172" s="12" t="n"/>
      <c r="H172" s="13">
        <f>IF(G172="","",IF(F172="Oui",G172*2,G172))</f>
        <v/>
      </c>
      <c r="I172" s="14">
        <f>IF(A172="","",MONTH(A172))</f>
        <v/>
      </c>
    </row>
    <row r="173">
      <c r="A173" s="9" t="n"/>
      <c r="B173" s="10" t="n"/>
      <c r="C173" s="10" t="n"/>
      <c r="D173" s="10" t="n"/>
      <c r="E173" s="10" t="n"/>
      <c r="F173" s="11" t="n"/>
      <c r="G173" s="12" t="n"/>
      <c r="H173" s="13">
        <f>IF(G173="","",IF(F173="Oui",G173*2,G173))</f>
        <v/>
      </c>
      <c r="I173" s="14">
        <f>IF(A173="","",MONTH(A173))</f>
        <v/>
      </c>
    </row>
    <row r="174">
      <c r="A174" s="9" t="n"/>
      <c r="B174" s="10" t="n"/>
      <c r="C174" s="10" t="n"/>
      <c r="D174" s="10" t="n"/>
      <c r="E174" s="10" t="n"/>
      <c r="F174" s="11" t="n"/>
      <c r="G174" s="12" t="n"/>
      <c r="H174" s="13">
        <f>IF(G174="","",IF(F174="Oui",G174*2,G174))</f>
        <v/>
      </c>
      <c r="I174" s="14">
        <f>IF(A174="","",MONTH(A174))</f>
        <v/>
      </c>
    </row>
    <row r="175">
      <c r="A175" s="9" t="n"/>
      <c r="B175" s="10" t="n"/>
      <c r="C175" s="10" t="n"/>
      <c r="D175" s="10" t="n"/>
      <c r="E175" s="10" t="n"/>
      <c r="F175" s="11" t="n"/>
      <c r="G175" s="12" t="n"/>
      <c r="H175" s="13">
        <f>IF(G175="","",IF(F175="Oui",G175*2,G175))</f>
        <v/>
      </c>
      <c r="I175" s="14">
        <f>IF(A175="","",MONTH(A175))</f>
        <v/>
      </c>
    </row>
    <row r="176">
      <c r="A176" s="9" t="n"/>
      <c r="B176" s="10" t="n"/>
      <c r="C176" s="10" t="n"/>
      <c r="D176" s="10" t="n"/>
      <c r="E176" s="10" t="n"/>
      <c r="F176" s="11" t="n"/>
      <c r="G176" s="12" t="n"/>
      <c r="H176" s="13">
        <f>IF(G176="","",IF(F176="Oui",G176*2,G176))</f>
        <v/>
      </c>
      <c r="I176" s="14">
        <f>IF(A176="","",MONTH(A176))</f>
        <v/>
      </c>
    </row>
    <row r="177">
      <c r="A177" s="9" t="n"/>
      <c r="B177" s="10" t="n"/>
      <c r="C177" s="10" t="n"/>
      <c r="D177" s="10" t="n"/>
      <c r="E177" s="10" t="n"/>
      <c r="F177" s="11" t="n"/>
      <c r="G177" s="12" t="n"/>
      <c r="H177" s="13">
        <f>IF(G177="","",IF(F177="Oui",G177*2,G177))</f>
        <v/>
      </c>
      <c r="I177" s="14">
        <f>IF(A177="","",MONTH(A177))</f>
        <v/>
      </c>
    </row>
    <row r="178">
      <c r="A178" s="9" t="n"/>
      <c r="B178" s="10" t="n"/>
      <c r="C178" s="10" t="n"/>
      <c r="D178" s="10" t="n"/>
      <c r="E178" s="10" t="n"/>
      <c r="F178" s="11" t="n"/>
      <c r="G178" s="12" t="n"/>
      <c r="H178" s="13">
        <f>IF(G178="","",IF(F178="Oui",G178*2,G178))</f>
        <v/>
      </c>
      <c r="I178" s="14">
        <f>IF(A178="","",MONTH(A178))</f>
        <v/>
      </c>
    </row>
    <row r="179">
      <c r="A179" s="9" t="n"/>
      <c r="B179" s="10" t="n"/>
      <c r="C179" s="10" t="n"/>
      <c r="D179" s="10" t="n"/>
      <c r="E179" s="10" t="n"/>
      <c r="F179" s="11" t="n"/>
      <c r="G179" s="12" t="n"/>
      <c r="H179" s="13">
        <f>IF(G179="","",IF(F179="Oui",G179*2,G179))</f>
        <v/>
      </c>
      <c r="I179" s="14">
        <f>IF(A179="","",MONTH(A179))</f>
        <v/>
      </c>
    </row>
    <row r="180">
      <c r="A180" s="9" t="n"/>
      <c r="B180" s="10" t="n"/>
      <c r="C180" s="10" t="n"/>
      <c r="D180" s="10" t="n"/>
      <c r="E180" s="10" t="n"/>
      <c r="F180" s="11" t="n"/>
      <c r="G180" s="12" t="n"/>
      <c r="H180" s="13">
        <f>IF(G180="","",IF(F180="Oui",G180*2,G180))</f>
        <v/>
      </c>
      <c r="I180" s="14">
        <f>IF(A180="","",MONTH(A180))</f>
        <v/>
      </c>
    </row>
    <row r="181">
      <c r="A181" s="9" t="n"/>
      <c r="B181" s="10" t="n"/>
      <c r="C181" s="10" t="n"/>
      <c r="D181" s="10" t="n"/>
      <c r="E181" s="10" t="n"/>
      <c r="F181" s="11" t="n"/>
      <c r="G181" s="12" t="n"/>
      <c r="H181" s="13">
        <f>IF(G181="","",IF(F181="Oui",G181*2,G181))</f>
        <v/>
      </c>
      <c r="I181" s="14">
        <f>IF(A181="","",MONTH(A181))</f>
        <v/>
      </c>
    </row>
    <row r="182">
      <c r="A182" s="9" t="n"/>
      <c r="B182" s="10" t="n"/>
      <c r="C182" s="10" t="n"/>
      <c r="D182" s="10" t="n"/>
      <c r="E182" s="10" t="n"/>
      <c r="F182" s="11" t="n"/>
      <c r="G182" s="12" t="n"/>
      <c r="H182" s="13">
        <f>IF(G182="","",IF(F182="Oui",G182*2,G182))</f>
        <v/>
      </c>
      <c r="I182" s="14">
        <f>IF(A182="","",MONTH(A182))</f>
        <v/>
      </c>
    </row>
    <row r="183">
      <c r="A183" s="9" t="n"/>
      <c r="B183" s="10" t="n"/>
      <c r="C183" s="10" t="n"/>
      <c r="D183" s="10" t="n"/>
      <c r="E183" s="10" t="n"/>
      <c r="F183" s="11" t="n"/>
      <c r="G183" s="12" t="n"/>
      <c r="H183" s="13">
        <f>IF(G183="","",IF(F183="Oui",G183*2,G183))</f>
        <v/>
      </c>
      <c r="I183" s="14">
        <f>IF(A183="","",MONTH(A183))</f>
        <v/>
      </c>
    </row>
    <row r="184">
      <c r="A184" s="9" t="n"/>
      <c r="B184" s="10" t="n"/>
      <c r="C184" s="10" t="n"/>
      <c r="D184" s="10" t="n"/>
      <c r="E184" s="10" t="n"/>
      <c r="F184" s="11" t="n"/>
      <c r="G184" s="12" t="n"/>
      <c r="H184" s="13">
        <f>IF(G184="","",IF(F184="Oui",G184*2,G184))</f>
        <v/>
      </c>
      <c r="I184" s="14">
        <f>IF(A184="","",MONTH(A184))</f>
        <v/>
      </c>
    </row>
    <row r="185">
      <c r="A185" s="9" t="n"/>
      <c r="B185" s="10" t="n"/>
      <c r="C185" s="10" t="n"/>
      <c r="D185" s="10" t="n"/>
      <c r="E185" s="10" t="n"/>
      <c r="F185" s="11" t="n"/>
      <c r="G185" s="12" t="n"/>
      <c r="H185" s="13">
        <f>IF(G185="","",IF(F185="Oui",G185*2,G185))</f>
        <v/>
      </c>
      <c r="I185" s="14">
        <f>IF(A185="","",MONTH(A185))</f>
        <v/>
      </c>
    </row>
    <row r="186">
      <c r="A186" s="9" t="n"/>
      <c r="B186" s="10" t="n"/>
      <c r="C186" s="10" t="n"/>
      <c r="D186" s="10" t="n"/>
      <c r="E186" s="10" t="n"/>
      <c r="F186" s="11" t="n"/>
      <c r="G186" s="12" t="n"/>
      <c r="H186" s="13">
        <f>IF(G186="","",IF(F186="Oui",G186*2,G186))</f>
        <v/>
      </c>
      <c r="I186" s="14">
        <f>IF(A186="","",MONTH(A186))</f>
        <v/>
      </c>
    </row>
    <row r="187">
      <c r="A187" s="9" t="n"/>
      <c r="B187" s="10" t="n"/>
      <c r="C187" s="10" t="n"/>
      <c r="D187" s="10" t="n"/>
      <c r="E187" s="10" t="n"/>
      <c r="F187" s="11" t="n"/>
      <c r="G187" s="12" t="n"/>
      <c r="H187" s="13">
        <f>IF(G187="","",IF(F187="Oui",G187*2,G187))</f>
        <v/>
      </c>
      <c r="I187" s="14">
        <f>IF(A187="","",MONTH(A187))</f>
        <v/>
      </c>
    </row>
    <row r="188">
      <c r="A188" s="9" t="n"/>
      <c r="B188" s="10" t="n"/>
      <c r="C188" s="10" t="n"/>
      <c r="D188" s="10" t="n"/>
      <c r="E188" s="10" t="n"/>
      <c r="F188" s="11" t="n"/>
      <c r="G188" s="12" t="n"/>
      <c r="H188" s="13">
        <f>IF(G188="","",IF(F188="Oui",G188*2,G188))</f>
        <v/>
      </c>
      <c r="I188" s="14">
        <f>IF(A188="","",MONTH(A188))</f>
        <v/>
      </c>
    </row>
    <row r="189">
      <c r="A189" s="9" t="n"/>
      <c r="B189" s="10" t="n"/>
      <c r="C189" s="10" t="n"/>
      <c r="D189" s="10" t="n"/>
      <c r="E189" s="10" t="n"/>
      <c r="F189" s="11" t="n"/>
      <c r="G189" s="12" t="n"/>
      <c r="H189" s="13">
        <f>IF(G189="","",IF(F189="Oui",G189*2,G189))</f>
        <v/>
      </c>
      <c r="I189" s="14">
        <f>IF(A189="","",MONTH(A189))</f>
        <v/>
      </c>
    </row>
    <row r="190">
      <c r="A190" s="9" t="n"/>
      <c r="B190" s="10" t="n"/>
      <c r="C190" s="10" t="n"/>
      <c r="D190" s="10" t="n"/>
      <c r="E190" s="10" t="n"/>
      <c r="F190" s="11" t="n"/>
      <c r="G190" s="12" t="n"/>
      <c r="H190" s="13">
        <f>IF(G190="","",IF(F190="Oui",G190*2,G190))</f>
        <v/>
      </c>
      <c r="I190" s="14">
        <f>IF(A190="","",MONTH(A190))</f>
        <v/>
      </c>
    </row>
    <row r="191">
      <c r="A191" s="9" t="n"/>
      <c r="B191" s="10" t="n"/>
      <c r="C191" s="10" t="n"/>
      <c r="D191" s="10" t="n"/>
      <c r="E191" s="10" t="n"/>
      <c r="F191" s="11" t="n"/>
      <c r="G191" s="12" t="n"/>
      <c r="H191" s="13">
        <f>IF(G191="","",IF(F191="Oui",G191*2,G191))</f>
        <v/>
      </c>
      <c r="I191" s="14">
        <f>IF(A191="","",MONTH(A191))</f>
        <v/>
      </c>
    </row>
    <row r="192">
      <c r="A192" s="9" t="n"/>
      <c r="B192" s="10" t="n"/>
      <c r="C192" s="10" t="n"/>
      <c r="D192" s="10" t="n"/>
      <c r="E192" s="10" t="n"/>
      <c r="F192" s="11" t="n"/>
      <c r="G192" s="12" t="n"/>
      <c r="H192" s="13">
        <f>IF(G192="","",IF(F192="Oui",G192*2,G192))</f>
        <v/>
      </c>
      <c r="I192" s="14">
        <f>IF(A192="","",MONTH(A192))</f>
        <v/>
      </c>
    </row>
    <row r="193">
      <c r="A193" s="9" t="n"/>
      <c r="B193" s="10" t="n"/>
      <c r="C193" s="10" t="n"/>
      <c r="D193" s="10" t="n"/>
      <c r="E193" s="10" t="n"/>
      <c r="F193" s="11" t="n"/>
      <c r="G193" s="12" t="n"/>
      <c r="H193" s="13">
        <f>IF(G193="","",IF(F193="Oui",G193*2,G193))</f>
        <v/>
      </c>
      <c r="I193" s="14">
        <f>IF(A193="","",MONTH(A193))</f>
        <v/>
      </c>
    </row>
    <row r="194">
      <c r="A194" s="9" t="n"/>
      <c r="B194" s="10" t="n"/>
      <c r="C194" s="10" t="n"/>
      <c r="D194" s="10" t="n"/>
      <c r="E194" s="10" t="n"/>
      <c r="F194" s="11" t="n"/>
      <c r="G194" s="12" t="n"/>
      <c r="H194" s="13">
        <f>IF(G194="","",IF(F194="Oui",G194*2,G194))</f>
        <v/>
      </c>
      <c r="I194" s="14">
        <f>IF(A194="","",MONTH(A194))</f>
        <v/>
      </c>
    </row>
    <row r="195">
      <c r="A195" s="9" t="n"/>
      <c r="B195" s="10" t="n"/>
      <c r="C195" s="10" t="n"/>
      <c r="D195" s="10" t="n"/>
      <c r="E195" s="10" t="n"/>
      <c r="F195" s="11" t="n"/>
      <c r="G195" s="12" t="n"/>
      <c r="H195" s="13">
        <f>IF(G195="","",IF(F195="Oui",G195*2,G195))</f>
        <v/>
      </c>
      <c r="I195" s="14">
        <f>IF(A195="","",MONTH(A195))</f>
        <v/>
      </c>
    </row>
    <row r="196">
      <c r="A196" s="9" t="n"/>
      <c r="B196" s="10" t="n"/>
      <c r="C196" s="10" t="n"/>
      <c r="D196" s="10" t="n"/>
      <c r="E196" s="10" t="n"/>
      <c r="F196" s="11" t="n"/>
      <c r="G196" s="12" t="n"/>
      <c r="H196" s="13">
        <f>IF(G196="","",IF(F196="Oui",G196*2,G196))</f>
        <v/>
      </c>
      <c r="I196" s="14">
        <f>IF(A196="","",MONTH(A196))</f>
        <v/>
      </c>
    </row>
    <row r="197">
      <c r="A197" s="9" t="n"/>
      <c r="B197" s="10" t="n"/>
      <c r="C197" s="10" t="n"/>
      <c r="D197" s="10" t="n"/>
      <c r="E197" s="10" t="n"/>
      <c r="F197" s="11" t="n"/>
      <c r="G197" s="12" t="n"/>
      <c r="H197" s="13">
        <f>IF(G197="","",IF(F197="Oui",G197*2,G197))</f>
        <v/>
      </c>
      <c r="I197" s="14">
        <f>IF(A197="","",MONTH(A197))</f>
        <v/>
      </c>
    </row>
    <row r="198">
      <c r="A198" s="9" t="n"/>
      <c r="B198" s="10" t="n"/>
      <c r="C198" s="10" t="n"/>
      <c r="D198" s="10" t="n"/>
      <c r="E198" s="10" t="n"/>
      <c r="F198" s="11" t="n"/>
      <c r="G198" s="12" t="n"/>
      <c r="H198" s="13">
        <f>IF(G198="","",IF(F198="Oui",G198*2,G198))</f>
        <v/>
      </c>
      <c r="I198" s="14">
        <f>IF(A198="","",MONTH(A198))</f>
        <v/>
      </c>
    </row>
    <row r="199">
      <c r="A199" s="9" t="n"/>
      <c r="B199" s="10" t="n"/>
      <c r="C199" s="10" t="n"/>
      <c r="D199" s="10" t="n"/>
      <c r="E199" s="10" t="n"/>
      <c r="F199" s="11" t="n"/>
      <c r="G199" s="12" t="n"/>
      <c r="H199" s="13">
        <f>IF(G199="","",IF(F199="Oui",G199*2,G199))</f>
        <v/>
      </c>
      <c r="I199" s="14">
        <f>IF(A199="","",MONTH(A199))</f>
        <v/>
      </c>
    </row>
    <row r="200">
      <c r="A200" s="9" t="n"/>
      <c r="B200" s="10" t="n"/>
      <c r="C200" s="10" t="n"/>
      <c r="D200" s="10" t="n"/>
      <c r="E200" s="10" t="n"/>
      <c r="F200" s="11" t="n"/>
      <c r="G200" s="12" t="n"/>
      <c r="H200" s="13">
        <f>IF(G200="","",IF(F200="Oui",G200*2,G200))</f>
        <v/>
      </c>
      <c r="I200" s="14">
        <f>IF(A200="","",MONTH(A200))</f>
        <v/>
      </c>
    </row>
    <row r="201">
      <c r="A201" s="9" t="n"/>
      <c r="B201" s="10" t="n"/>
      <c r="C201" s="10" t="n"/>
      <c r="D201" s="10" t="n"/>
      <c r="E201" s="10" t="n"/>
      <c r="F201" s="11" t="n"/>
      <c r="G201" s="12" t="n"/>
      <c r="H201" s="13">
        <f>IF(G201="","",IF(F201="Oui",G201*2,G201))</f>
        <v/>
      </c>
      <c r="I201" s="14">
        <f>IF(A201="","",MONTH(A201))</f>
        <v/>
      </c>
    </row>
    <row r="202">
      <c r="A202" s="9" t="n"/>
      <c r="B202" s="10" t="n"/>
      <c r="C202" s="10" t="n"/>
      <c r="D202" s="10" t="n"/>
      <c r="E202" s="10" t="n"/>
      <c r="F202" s="11" t="n"/>
      <c r="G202" s="12" t="n"/>
      <c r="H202" s="13">
        <f>IF(G202="","",IF(F202="Oui",G202*2,G202))</f>
        <v/>
      </c>
      <c r="I202" s="14">
        <f>IF(A202="","",MONTH(A202))</f>
        <v/>
      </c>
    </row>
    <row r="203">
      <c r="A203" s="9" t="n"/>
      <c r="B203" s="10" t="n"/>
      <c r="C203" s="10" t="n"/>
      <c r="D203" s="10" t="n"/>
      <c r="E203" s="10" t="n"/>
      <c r="F203" s="11" t="n"/>
      <c r="G203" s="12" t="n"/>
      <c r="H203" s="13">
        <f>IF(G203="","",IF(F203="Oui",G203*2,G203))</f>
        <v/>
      </c>
      <c r="I203" s="14">
        <f>IF(A203="","",MONTH(A203))</f>
        <v/>
      </c>
    </row>
    <row r="204">
      <c r="A204" s="9" t="n"/>
      <c r="B204" s="10" t="n"/>
      <c r="C204" s="10" t="n"/>
      <c r="D204" s="10" t="n"/>
      <c r="E204" s="10" t="n"/>
      <c r="F204" s="11" t="n"/>
      <c r="G204" s="12" t="n"/>
      <c r="H204" s="13">
        <f>IF(G204="","",IF(F204="Oui",G204*2,G204))</f>
        <v/>
      </c>
      <c r="I204" s="14">
        <f>IF(A204="","",MONTH(A204))</f>
        <v/>
      </c>
    </row>
  </sheetData>
  <autoFilter ref="A4:I204"/>
  <dataValidations count="1">
    <dataValidation sqref="F5:F204" showDropDown="0" showInputMessage="0" showErrorMessage="0" allowBlank="1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6" t="inlineStr">
        <is>
          <t>Votre véhicule</t>
        </is>
      </c>
    </row>
    <row r="2">
      <c r="A2" s="7" t="inlineStr">
        <is>
          <t>Ces deux réponses déterminent le barème appliqué.</t>
        </is>
      </c>
    </row>
    <row r="4">
      <c r="A4" s="15" t="inlineStr">
        <is>
          <t>Puissance fiscale (case P.6 de la carte grise)</t>
        </is>
      </c>
      <c r="B4" s="10" t="inlineStr">
        <is>
          <t>5 CV</t>
        </is>
      </c>
    </row>
    <row r="5">
      <c r="A5" s="15" t="inlineStr">
        <is>
          <t>Véhicule 100 % électrique</t>
        </is>
      </c>
      <c r="B5" s="10" t="inlineStr">
        <is>
          <t>Non</t>
        </is>
      </c>
    </row>
    <row r="7">
      <c r="A7" s="16" t="inlineStr">
        <is>
          <t>Les cellules jaunes sont les seules à remplir.</t>
        </is>
      </c>
    </row>
    <row r="10">
      <c r="A10" s="15" t="inlineStr">
        <is>
          <t>Barème kilométrique 2026 (voitures)</t>
        </is>
      </c>
    </row>
    <row r="11" ht="30" customHeight="1">
      <c r="A11" s="17" t="inlineStr">
        <is>
          <t>Puissance</t>
        </is>
      </c>
      <c r="B11" s="17" t="inlineStr">
        <is>
          <t>≤ 5 000 km</t>
        </is>
      </c>
      <c r="C11" s="17" t="inlineStr">
        <is>
          <t>5 001 – 20 000 km (coef.)</t>
        </is>
      </c>
      <c r="D11" s="17" t="inlineStr">
        <is>
          <t>5 001 – 20 000 km (fixe)</t>
        </is>
      </c>
      <c r="E11" s="17" t="inlineStr">
        <is>
          <t>&gt; 20 000 km</t>
        </is>
      </c>
      <c r="F11" s="17" t="inlineStr">
        <is>
          <t>≤ 5 000 km (élec.)</t>
        </is>
      </c>
      <c r="G11" s="17" t="inlineStr">
        <is>
          <t>5 001 – 20 000 (coef. élec.)</t>
        </is>
      </c>
      <c r="H11" s="17" t="inlineStr">
        <is>
          <t>5 001 – 20 000 (fixe élec.)</t>
        </is>
      </c>
      <c r="I11" s="17" t="inlineStr">
        <is>
          <t>&gt; 20 000 km (élec.)</t>
        </is>
      </c>
    </row>
    <row r="12">
      <c r="A12" s="18" t="inlineStr">
        <is>
          <t>3 CV et moins</t>
        </is>
      </c>
      <c r="B12" s="19" t="n">
        <v>0.529</v>
      </c>
      <c r="C12" s="19" t="n">
        <v>0.316</v>
      </c>
      <c r="D12" s="13" t="n">
        <v>1065</v>
      </c>
      <c r="E12" s="19" t="n">
        <v>0.37</v>
      </c>
      <c r="F12" s="19" t="n">
        <v>0.635</v>
      </c>
      <c r="G12" s="19" t="n">
        <v>0.379</v>
      </c>
      <c r="H12" s="13" t="n">
        <v>1278</v>
      </c>
      <c r="I12" s="19" t="n">
        <v>0.444</v>
      </c>
    </row>
    <row r="13">
      <c r="A13" s="18" t="inlineStr">
        <is>
          <t>4 CV</t>
        </is>
      </c>
      <c r="B13" s="19" t="n">
        <v>0.606</v>
      </c>
      <c r="C13" s="19" t="n">
        <v>0.34</v>
      </c>
      <c r="D13" s="13" t="n">
        <v>1330</v>
      </c>
      <c r="E13" s="19" t="n">
        <v>0.407</v>
      </c>
      <c r="F13" s="19" t="n">
        <v>0.727</v>
      </c>
      <c r="G13" s="19" t="n">
        <v>0.408</v>
      </c>
      <c r="H13" s="13" t="n">
        <v>1596</v>
      </c>
      <c r="I13" s="19" t="n">
        <v>0.488</v>
      </c>
    </row>
    <row r="14">
      <c r="A14" s="18" t="inlineStr">
        <is>
          <t>5 CV</t>
        </is>
      </c>
      <c r="B14" s="19" t="n">
        <v>0.636</v>
      </c>
      <c r="C14" s="19" t="n">
        <v>0.357</v>
      </c>
      <c r="D14" s="13" t="n">
        <v>1395</v>
      </c>
      <c r="E14" s="19" t="n">
        <v>0.427</v>
      </c>
      <c r="F14" s="19" t="n">
        <v>0.763</v>
      </c>
      <c r="G14" s="19" t="n">
        <v>0.428</v>
      </c>
      <c r="H14" s="13" t="n">
        <v>1674</v>
      </c>
      <c r="I14" s="19" t="n">
        <v>0.512</v>
      </c>
    </row>
    <row r="15">
      <c r="A15" s="18" t="inlineStr">
        <is>
          <t>6 CV</t>
        </is>
      </c>
      <c r="B15" s="19" t="n">
        <v>0.665</v>
      </c>
      <c r="C15" s="19" t="n">
        <v>0.374</v>
      </c>
      <c r="D15" s="13" t="n">
        <v>1457</v>
      </c>
      <c r="E15" s="19" t="n">
        <v>0.447</v>
      </c>
      <c r="F15" s="19" t="n">
        <v>0.798</v>
      </c>
      <c r="G15" s="19" t="n">
        <v>0.449</v>
      </c>
      <c r="H15" s="13" t="n">
        <v>1748</v>
      </c>
      <c r="I15" s="19" t="n">
        <v>0.536</v>
      </c>
    </row>
    <row r="16">
      <c r="A16" s="18" t="inlineStr">
        <is>
          <t>7 CV et plus</t>
        </is>
      </c>
      <c r="B16" s="19" t="n">
        <v>0.697</v>
      </c>
      <c r="C16" s="19" t="n">
        <v>0.394</v>
      </c>
      <c r="D16" s="13" t="n">
        <v>1515</v>
      </c>
      <c r="E16" s="19" t="n">
        <v>0.47</v>
      </c>
      <c r="F16" s="19" t="n">
        <v>0.836</v>
      </c>
      <c r="G16" s="19" t="n">
        <v>0.473</v>
      </c>
      <c r="H16" s="13" t="n">
        <v>1818</v>
      </c>
      <c r="I16" s="19" t="n">
        <v>0.5639999999999999</v>
      </c>
    </row>
    <row r="18">
      <c r="A18" s="16" t="inlineStr">
        <is>
          <t>Barème fiscal 2026, reconduit à l’identique de 2025. Les colonnes « élec. » intègrent la majoration de 20 %.</t>
        </is>
      </c>
    </row>
    <row r="19">
      <c r="A19" s="16" t="inlineStr">
        <is>
          <t>Source : barème des indemnités kilométriques publié par l’URSSAF.</t>
        </is>
      </c>
    </row>
  </sheetData>
  <dataValidations count="2">
    <dataValidation sqref="B4" showDropDown="0" showInputMessage="0" showErrorMessage="0" allowBlank="0" type="list">
      <formula1>"3 CV et moins,4 CV,5 CV,6 CV,7 CV et plus"</formula1>
    </dataValidation>
    <dataValidation sqref="B5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6" t="inlineStr">
        <is>
          <t>Récapitulatif 2026</t>
        </is>
      </c>
    </row>
    <row r="2">
      <c r="A2" s="7" t="inlineStr">
        <is>
          <t>Tout se calcule à partir de la feuille Trajets et de la feuille Véhicule.</t>
        </is>
      </c>
    </row>
    <row r="4">
      <c r="A4" s="20" t="inlineStr">
        <is>
          <t>Mois</t>
        </is>
      </c>
      <c r="B4" s="20" t="inlineStr">
        <is>
          <t>Kilomètres</t>
        </is>
      </c>
      <c r="C4" s="20" t="inlineStr">
        <is>
          <t>Nombre de trajets</t>
        </is>
      </c>
    </row>
    <row r="5">
      <c r="A5" s="18" t="inlineStr">
        <is>
          <t>Janvier</t>
        </is>
      </c>
      <c r="B5" s="21">
        <f>SUMIFS(Trajets!$H$5:$H$204,Trajets!$I$5:$I$204,1)</f>
        <v/>
      </c>
      <c r="C5" s="21">
        <f>COUNTIFS(Trajets!$I$5:$I$204,1)</f>
        <v/>
      </c>
    </row>
    <row r="6">
      <c r="A6" s="18" t="inlineStr">
        <is>
          <t>Février</t>
        </is>
      </c>
      <c r="B6" s="21">
        <f>SUMIFS(Trajets!$H$5:$H$204,Trajets!$I$5:$I$204,2)</f>
        <v/>
      </c>
      <c r="C6" s="21">
        <f>COUNTIFS(Trajets!$I$5:$I$204,2)</f>
        <v/>
      </c>
    </row>
    <row r="7">
      <c r="A7" s="18" t="inlineStr">
        <is>
          <t>Mars</t>
        </is>
      </c>
      <c r="B7" s="21">
        <f>SUMIFS(Trajets!$H$5:$H$204,Trajets!$I$5:$I$204,3)</f>
        <v/>
      </c>
      <c r="C7" s="21">
        <f>COUNTIFS(Trajets!$I$5:$I$204,3)</f>
        <v/>
      </c>
    </row>
    <row r="8">
      <c r="A8" s="18" t="inlineStr">
        <is>
          <t>Avril</t>
        </is>
      </c>
      <c r="B8" s="21">
        <f>SUMIFS(Trajets!$H$5:$H$204,Trajets!$I$5:$I$204,4)</f>
        <v/>
      </c>
      <c r="C8" s="21">
        <f>COUNTIFS(Trajets!$I$5:$I$204,4)</f>
        <v/>
      </c>
    </row>
    <row r="9">
      <c r="A9" s="18" t="inlineStr">
        <is>
          <t>Mai</t>
        </is>
      </c>
      <c r="B9" s="21">
        <f>SUMIFS(Trajets!$H$5:$H$204,Trajets!$I$5:$I$204,5)</f>
        <v/>
      </c>
      <c r="C9" s="21">
        <f>COUNTIFS(Trajets!$I$5:$I$204,5)</f>
        <v/>
      </c>
    </row>
    <row r="10">
      <c r="A10" s="18" t="inlineStr">
        <is>
          <t>Juin</t>
        </is>
      </c>
      <c r="B10" s="21">
        <f>SUMIFS(Trajets!$H$5:$H$204,Trajets!$I$5:$I$204,6)</f>
        <v/>
      </c>
      <c r="C10" s="21">
        <f>COUNTIFS(Trajets!$I$5:$I$204,6)</f>
        <v/>
      </c>
    </row>
    <row r="11">
      <c r="A11" s="18" t="inlineStr">
        <is>
          <t>Juillet</t>
        </is>
      </c>
      <c r="B11" s="21">
        <f>SUMIFS(Trajets!$H$5:$H$204,Trajets!$I$5:$I$204,7)</f>
        <v/>
      </c>
      <c r="C11" s="21">
        <f>COUNTIFS(Trajets!$I$5:$I$204,7)</f>
        <v/>
      </c>
    </row>
    <row r="12">
      <c r="A12" s="18" t="inlineStr">
        <is>
          <t>Août</t>
        </is>
      </c>
      <c r="B12" s="21">
        <f>SUMIFS(Trajets!$H$5:$H$204,Trajets!$I$5:$I$204,8)</f>
        <v/>
      </c>
      <c r="C12" s="21">
        <f>COUNTIFS(Trajets!$I$5:$I$204,8)</f>
        <v/>
      </c>
    </row>
    <row r="13">
      <c r="A13" s="18" t="inlineStr">
        <is>
          <t>Septembre</t>
        </is>
      </c>
      <c r="B13" s="21">
        <f>SUMIFS(Trajets!$H$5:$H$204,Trajets!$I$5:$I$204,9)</f>
        <v/>
      </c>
      <c r="C13" s="21">
        <f>COUNTIFS(Trajets!$I$5:$I$204,9)</f>
        <v/>
      </c>
    </row>
    <row r="14">
      <c r="A14" s="18" t="inlineStr">
        <is>
          <t>Octobre</t>
        </is>
      </c>
      <c r="B14" s="21">
        <f>SUMIFS(Trajets!$H$5:$H$204,Trajets!$I$5:$I$204,10)</f>
        <v/>
      </c>
      <c r="C14" s="21">
        <f>COUNTIFS(Trajets!$I$5:$I$204,10)</f>
        <v/>
      </c>
    </row>
    <row r="15">
      <c r="A15" s="18" t="inlineStr">
        <is>
          <t>Novembre</t>
        </is>
      </c>
      <c r="B15" s="21">
        <f>SUMIFS(Trajets!$H$5:$H$204,Trajets!$I$5:$I$204,11)</f>
        <v/>
      </c>
      <c r="C15" s="21">
        <f>COUNTIFS(Trajets!$I$5:$I$204,11)</f>
        <v/>
      </c>
    </row>
    <row r="16">
      <c r="A16" s="18" t="inlineStr">
        <is>
          <t>Décembre</t>
        </is>
      </c>
      <c r="B16" s="21">
        <f>SUMIFS(Trajets!$H$5:$H$204,Trajets!$I$5:$I$204,12)</f>
        <v/>
      </c>
      <c r="C16" s="21">
        <f>COUNTIFS(Trajets!$I$5:$I$204,12)</f>
        <v/>
      </c>
    </row>
    <row r="17">
      <c r="A17" s="15" t="inlineStr">
        <is>
          <t>Total de l’année</t>
        </is>
      </c>
      <c r="B17" s="22">
        <f>SUM(B5:B16)</f>
        <v/>
      </c>
      <c r="C17" s="22">
        <f>SUM(C5:C16)</f>
        <v/>
      </c>
    </row>
    <row r="19">
      <c r="A19" s="15" t="inlineStr">
        <is>
          <t>Puissance fiscale retenue</t>
        </is>
      </c>
      <c r="B19" s="23">
        <f>Véhicule!B4</f>
        <v/>
      </c>
    </row>
    <row r="20">
      <c r="A20" s="15" t="inlineStr">
        <is>
          <t>Véhicule électrique</t>
        </is>
      </c>
      <c r="B20" s="23">
        <f>Véhicule!B5</f>
        <v/>
      </c>
    </row>
    <row r="22">
      <c r="A22" s="15" t="inlineStr">
        <is>
          <t>Tranche applicable</t>
        </is>
      </c>
      <c r="B22" s="18">
        <f>IF(B17&lt;=5000,"Jusqu'à 5 000 km",IF(B17&lt;=20000,"De 5 001 à 20 000 km","Au-delà de 20 000 km"))</f>
        <v/>
      </c>
    </row>
    <row r="23">
      <c r="A23" s="16" t="inlineStr">
        <is>
          <t>Décalage électrique</t>
        </is>
      </c>
      <c r="B23" s="24">
        <f>IF(B20="Oui",4,0)</f>
        <v/>
      </c>
    </row>
    <row r="25">
      <c r="A25" s="25" t="inlineStr">
        <is>
          <t>Frais kilométriques de l’année</t>
        </is>
      </c>
      <c r="B25" s="26">
        <f>IF(B17=0,0,IF(B17&lt;=5000,B17*INDEX(Véhicule!$B$12:$I$16,MATCH(B19,Véhicule!$A$12:$A$16,0),1+B23),IF(B17&lt;=20000,B17*INDEX(Véhicule!$B$12:$I$16,MATCH(B19,Véhicule!$A$12:$A$16,0),2+B23)+INDEX(Véhicule!$B$12:$I$16,MATCH(B19,Véhicule!$A$12:$A$16,0),3+B23),B17*INDEX(Véhicule!$B$12:$I$16,MATCH(B19,Véhicule!$A$12:$A$16,0),4+B23))))</f>
        <v/>
      </c>
    </row>
    <row r="27">
      <c r="A27" s="16" t="inlineStr">
        <is>
          <t>Le barème s’applique au total annuel, pas trajet par trajet : le montant n’est donc juste qu’une fois l’année complète.</t>
        </is>
      </c>
    </row>
    <row r="28">
      <c r="A28" s="16" t="inlineStr">
        <is>
          <t>Modèle offert par KmPro — kmpro.app. Informations à titre indicatif.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2026-09-30T09:14:17Z</dcterms:created>
  <dcterms:modified xsi:type="dcterms:W3CDTF">2026-09-30T09:14:17Z</dcterms:modified>
</cp:coreProperties>
</file>